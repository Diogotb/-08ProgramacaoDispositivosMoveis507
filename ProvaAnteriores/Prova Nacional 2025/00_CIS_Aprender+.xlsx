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autoCompressPictures="0"/>
  <mc:AlternateContent xmlns:mc="http://schemas.openxmlformats.org/markup-compatibility/2006">
    <mc:Choice Requires="x15">
      <x15ac:absPath xmlns:x15ac="http://schemas.microsoft.com/office/spreadsheetml/2010/11/ac" url="https://sesisenaisp-my.sharepoint.com/personal/tiago_ramos_sp_senai_br/Documents/WorldSkills Nacional/Provas Oficiais e Simulados/2025 - Seletiva Nacional/Versão Final/"/>
    </mc:Choice>
  </mc:AlternateContent>
  <xr:revisionPtr revIDLastSave="285" documentId="13_ncr:1_{5AA71112-2D23-46C9-B448-169E61773AD9}" xr6:coauthVersionLast="47" xr6:coauthVersionMax="47" xr10:uidLastSave="{A00E41E0-56C0-44B0-A3C8-B797AFA0D24D}"/>
  <bookViews>
    <workbookView xWindow="28680" yWindow="-105" windowWidth="29040" windowHeight="15720" xr2:uid="{00000000-000D-0000-FFFF-FFFF00000000}"/>
  </bookViews>
  <sheets>
    <sheet name="CIS Marking Scheme Import" sheetId="1" r:id="rId1"/>
    <sheet name="Calculations" sheetId="6" r:id="rId2"/>
  </sheet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5" i="1" l="1"/>
  <c r="N75" i="1"/>
  <c r="N164" i="1"/>
  <c r="L267" i="1" l="1"/>
  <c r="J10" i="1"/>
  <c r="K10" i="1" s="1"/>
  <c r="J6" i="1"/>
  <c r="K6" i="1" s="1"/>
  <c r="P30" i="1" l="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3" i="1"/>
  <c r="P194"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9" i="1"/>
  <c r="J11" i="1"/>
  <c r="K11" i="1" s="1"/>
  <c r="J8" i="1"/>
  <c r="K8" i="1" s="1"/>
  <c r="J9" i="1"/>
  <c r="K9" i="1" s="1"/>
  <c r="J7" i="1"/>
  <c r="K7" i="1" s="1"/>
  <c r="N192" i="1" l="1"/>
  <c r="C5" i="6"/>
  <c r="J5" i="1"/>
  <c r="K5" i="1" s="1"/>
  <c r="K12" i="1" s="1"/>
  <c r="P195" i="1"/>
  <c r="N28" i="1" l="1"/>
  <c r="N270" i="1" l="1"/>
</calcChain>
</file>

<file path=xl/sharedStrings.xml><?xml version="1.0" encoding="utf-8"?>
<sst xmlns="http://schemas.openxmlformats.org/spreadsheetml/2006/main" count="1067" uniqueCount="434">
  <si>
    <t>08 Mobile Applications Development</t>
  </si>
  <si>
    <t>WorldSkills Occupational Standards</t>
  </si>
  <si>
    <t>Section</t>
  </si>
  <si>
    <t>WSOS Marks</t>
  </si>
  <si>
    <t>Aspect Marks</t>
  </si>
  <si>
    <t>Variation</t>
  </si>
  <si>
    <t>Organização e gestão do trabalho</t>
  </si>
  <si>
    <t>Comunicação e habilidades interpessoais</t>
  </si>
  <si>
    <t>Prática Sustentável</t>
  </si>
  <si>
    <t>Planejamento inicial, design e estrutura de teste</t>
  </si>
  <si>
    <t>Planejamento de arquitetura de sistemas</t>
  </si>
  <si>
    <t>Implementação e desenvolvimento de produto</t>
  </si>
  <si>
    <t>Testes finais do produto, solução de problemas e otimização</t>
  </si>
  <si>
    <t>Total Variation</t>
  </si>
  <si>
    <t>Criteria</t>
  </si>
  <si>
    <t>ID</t>
  </si>
  <si>
    <t>Name</t>
  </si>
  <si>
    <t>Mark</t>
  </si>
  <si>
    <t>A</t>
  </si>
  <si>
    <t>Design</t>
  </si>
  <si>
    <t>B</t>
  </si>
  <si>
    <t>Funcionalidades</t>
  </si>
  <si>
    <t>C</t>
  </si>
  <si>
    <t>Implementações</t>
  </si>
  <si>
    <t>D</t>
  </si>
  <si>
    <t>Testes</t>
  </si>
  <si>
    <t>E</t>
  </si>
  <si>
    <t>F</t>
  </si>
  <si>
    <t>G</t>
  </si>
  <si>
    <t>H</t>
  </si>
  <si>
    <t>I</t>
  </si>
  <si>
    <t>Sub
Criterion
ID</t>
  </si>
  <si>
    <t>Sub Criterion
Name or Description</t>
  </si>
  <si>
    <t>Day of Marking</t>
  </si>
  <si>
    <t>Aspect
Type
M = Meas
J = Judg</t>
  </si>
  <si>
    <t>Aspect - Description</t>
  </si>
  <si>
    <t>Judg Score</t>
  </si>
  <si>
    <t>Extra Aspect Description (Meas or Judg)
OR
Judgement Score Description (Judg only)</t>
  </si>
  <si>
    <t>Requirement
(Measurement Only)</t>
  </si>
  <si>
    <t>WSOS Section</t>
  </si>
  <si>
    <t>Calculation Row 
(Export only)</t>
  </si>
  <si>
    <t>Max
Mark</t>
  </si>
  <si>
    <t>Criterion A</t>
  </si>
  <si>
    <t>Total
Mark</t>
  </si>
  <si>
    <t>A1</t>
  </si>
  <si>
    <t>Design AM</t>
  </si>
  <si>
    <t/>
  </si>
  <si>
    <t>M</t>
  </si>
  <si>
    <t>Demandas Gerais: Entrega do repositório</t>
  </si>
  <si>
    <t>J</t>
  </si>
  <si>
    <t>A2</t>
  </si>
  <si>
    <t>Criterion B</t>
  </si>
  <si>
    <t>B1</t>
  </si>
  <si>
    <t>Criterion C</t>
  </si>
  <si>
    <t>Criterion D</t>
  </si>
  <si>
    <t>D1</t>
  </si>
  <si>
    <t>Competition</t>
  </si>
  <si>
    <t>Demandas Gerais: Bateria Baixa</t>
  </si>
  <si>
    <t>Tela Home: Componentes visuais</t>
  </si>
  <si>
    <t>Tela Home: Requisitos funcionais</t>
  </si>
  <si>
    <t>Tela QuizMyBrain: Requisitos funcionais</t>
  </si>
  <si>
    <t>Tela Questões Multipla Escolha (ME): Componentes visuais</t>
  </si>
  <si>
    <t>Tela Questões Multipla Escolha (ME): Requisitos funcionais</t>
  </si>
  <si>
    <t>Tela Questões Verdadeiro ou Falso (VF): Componentes Visuais</t>
  </si>
  <si>
    <t>Tela Questões Verdadeiro ou Falso (VF): Requisitos funcionais</t>
  </si>
  <si>
    <t>Tela Questões do tipo Relacione (REL): componentes visuais</t>
  </si>
  <si>
    <t>Tela Questões do tipo Relacione (REL): Requisitos funcionais</t>
  </si>
  <si>
    <t>Tela GeniusPlay: Componentes visuais</t>
  </si>
  <si>
    <t>Tela GeniusPlay: Requisitos Funcionais</t>
  </si>
  <si>
    <t>Tela MemoCheck: Componentes visuais</t>
  </si>
  <si>
    <t>Tela MemoCheck: Requisitos funcionais</t>
  </si>
  <si>
    <t>Aplicativo é fácil de usar</t>
  </si>
  <si>
    <t>O aplicativo não funciona normalmente</t>
  </si>
  <si>
    <t>O aplicativo funciona normalmente, mas a maioria das funções são difíceis de usar.</t>
  </si>
  <si>
    <t>O aplicativo funciona normalmente e a maioria das funções é fácil de usar, algumas funções são difíceis de usar.</t>
  </si>
  <si>
    <t>O aplicativo funciona normalmente e a experiência funcional é boa, todos os usuários podem aproveitar.</t>
  </si>
  <si>
    <t>Demandas Gerais: Internet</t>
  </si>
  <si>
    <t>Demandas Gerais: Fones de Ouvido e Audio</t>
  </si>
  <si>
    <t>Demandas Gerais: Economia de Energia</t>
  </si>
  <si>
    <t>8.Caso o aplicativo inicie no modo economia de energia, na tela inicial deve ser apresentado um modal com a mensagem “Seu dispositivo está no modo economia de energia, alguns recursos podem ser limitados.”. [0,45]</t>
  </si>
  <si>
    <t>1 Deverá haver um menu sidebar contendo: Imagem de Perfil[0,05]; Opção Home[0,05]; Opção QuizMyBrain[0,05]; Opção GeniusPLay[0,05]; Opção MemoCheck[0,05]; Opção Sair[0,05];
2.Logo do aplicativo; [0,05];
3.Texto de boas-vindas “Bem-vindo ao Aprender+”; [0,05];</t>
  </si>
  <si>
    <t>1.Ao clicar no ícone do menu, a sidebar deve ser aberta; [0,1]
2.Ao clicar no ícone de voltar, a sidebar deve ser fechada; [0,1]
3.Ao clicar na opção QuizMyBrain a tela correspondente deve ser aberta; [0,1]
4.Ao clicar na opção GeniusPLay a tela correspondente deve ser aberta; [0,1]
5.Ao clicar na opção MemoCheck a tela correspondente deve ser aberta; [0,1]
6.Ao clicar na opção de “Sair”, o app deve ser fechado; [0,1]</t>
  </si>
  <si>
    <t>1.Botão voltar;[0,05]
2.Texto “Genius Play”;[0,05]
3.Caixa de seleção de linguagem com as opções: Português;[0,05], Inglês;[0,05], Espanhol;[0,05]
4.Texto “Nivel: X” (substituir o X pela fase atual);[0,10]
5.Texto “Cronômetro: MM:SS”, aonde MM = Minuto SS = Segundos;[0,10]
6.Pentágono com as cores Amarelo, Azul, Vermelho, Laranja e Verde;[0,10];
7.Botão Start ao centro do pentágono;[0,10]
8.Botão Restart;[0,05]
9.Score de pontos;[0,10]</t>
  </si>
  <si>
    <t>Widget: Componentes visuais</t>
  </si>
  <si>
    <t>Widget: Requisitos funcionais</t>
  </si>
  <si>
    <t>Demandas Gerais: Tela extra</t>
  </si>
  <si>
    <t>1.Adicionou ao menos 1 nova tela para aprimorar a UX do usuário, telas que não sejam de confirmações, erros, ou qualquer outro tipo de feedback para o usuário;</t>
  </si>
  <si>
    <t>Demandas Gerais: Dark/Light mode</t>
  </si>
  <si>
    <t>1.O tema dark e light são aplicados em cada uma das telas, mantendo todos os textos, imagens, ícones e componentes visíveis, 
10 telas (Tela Principal, Tela Perfil, Tela de Cursos, Modal de detalhes do curso, Tela Cadastro, Tela Recuperação de senha, Tela Login, Tela Tutorial e Tela Cadastro de audio e foto, Tela Extra) [0,04] por tela;</t>
  </si>
  <si>
    <t>Splash Screen: Componentes visuais</t>
  </si>
  <si>
    <t>1. Logotipo</t>
  </si>
  <si>
    <t>Splash Screen: Requisitos de design</t>
  </si>
  <si>
    <t>Tutorial de integração: Componentes visuais</t>
  </si>
  <si>
    <t>1.Imagem do slide(As imagens estarão disponíveis em media-files (sendo 3 imagens no total); 3 telas [0,04] por tela;
2.Título do slide; 3 telas [0,03] por tela;
3.Textos de cada etapa, conforme (media-files) 3 telas [0,03] por tela;
4.Barra de progresso; 3 telas [0,03] por tela;
5.Botão, imagem ou ícone para avançar; 2 telas [0,04] por tela;
6.Botão, imagem ou ícone para voltar/retroceder; 2 telas [0,04] por tela;
7.Botão Pular; 2 telas [0,03] por tela;
8.Botão Login;3 telas [0,03] por tela;</t>
  </si>
  <si>
    <t>Tutorial de integração: Requisitos de design</t>
  </si>
  <si>
    <t>Login: Componentes visuais</t>
  </si>
  <si>
    <t>1.Logo do aplicativo; [0,05]
2.Texto titulo: “Acesse o App”; [0,05]
3.Input com placeholder “Digite seu e-mail”; [0,05]
4.Input com placeholder “Digite sua senha”; [0,05]
5.Botão com texto “Logar”; [0,05]
6.Botão com texto “Cadastre-se” [0,05]
7.Texto “Esqueceu sua senha?” [0,05]
8.Texto “Tutorial de boas-vindas” [0,05]</t>
  </si>
  <si>
    <t>Login: Requisitos de design</t>
  </si>
  <si>
    <t>1. Deve haver uma simulação de entrada de dados pelo usuário nos inputs para e-mail e senha; 2 inputs [0,1] por input;
2. Ao clicar e segurar no ícone de olho no input de senha, deve ser possível visualizar a senha de forma textual, retirando as bolinhas; [0,1]
3. Ao soltar o ícone de olho, deve ser retornado os valores com as bolinhas da senha novamente; [0,1]
4. Ao clicar no botão “Logar” , deve-se apresentar ao usuário uma mensagem do tipo toasty com o texto “Login realizado com sucesso!” e direcioná-lo a Tela principal com a lista de cursos. [0,05]
5. Ao clicar no botão “Cadastre-se” deve direcionar para a “Tela de cadastro”. [0,05]
6. Ao clicar sobre o texto “Esqueceu sua senha?” deve ser direcionado para a “Tela de recuperação de senha.” [0,05]
7. Ao clicar no texto “Tutorial de boas-vindas” deve ser direcionado a primeira tela do “Tutorial de boas-vindas”. [0,05]</t>
  </si>
  <si>
    <t>Tela Principal: Componentes visuais</t>
  </si>
  <si>
    <t xml:space="preserve">1.Menu tipo sandwish [0,05] com os componentes: Botão ou ícone voltar/fechar [0,04], Foto do usuário [0,04],  Item (ícone e texto) Home [0,04], Item (ícone e texto) Cursos [0,04], Item (ícone e texto) Logout [0,04], Botão do tipo Toggle Switch com o texto “Dark mode” [0,04]; 
3. Logo do aplicativo; [0,05] 
4. Boas-vindas com a frase “Bom dia, João da Silva” [0,03] 
5. input para busca de cursos contendo placeholder “Busca” e ícone de pesquisa dentro do input para buscar cursos; [0,05] 
6. Lista de cursos com nome e ícone; [0,05] 
7. Ícone de seta para expandir e mostrar os detalhes do curso; [0,03] </t>
  </si>
  <si>
    <t>Tela Principal: Requisitos de design</t>
  </si>
  <si>
    <t>1.Ao clicar no ícone de sandwish deve abrir o menu lateral com animação de entrada da esquerda para a direita;[0,1]
2.Ao clicar no botão ou ícone de voltar/fechar deve fechar o menu com animação da direita para a esquerda;[0,1]
3.A lista de cursos deve conter exatamente os mesmos cursos listados no wire-frame, com seu respectivo ícone;[0,05]
4.Ao clicar no ícone do item “Português” deve abrir o “Modal de detalhes do curso”.[0,05]
5.Ao clicar no ícone de seta(expandir) de qualquer item deve-se mostrar as atividades somente deste curso, conforme representado no wire-frame (As atividades devem ser as mesmas para todos os itens), mantendo o mesmo nome e ícone de quando a atividade estava recolhida;[0,05]
6.Ao clicar no ícone de seta e expandir o item o ícone de expansão(seta), deve ser invertido ficando apontando para cima;[0,05]
7.Ao clicar novamente no ícone de seta, que neste momento deve estar invertida (apontando para cima) deve-se retrair o item e ocultar suas atividades, mantendo o nome e ícone de quando a atividade estava expandida;[0,05]
8.Ao clicar no ícone de seta e retrair o item o ícone de expansão(seta), deve ser invertido ficando apontando para baixo;[0,05]
9.A lista de cursos deve ter scrolling habilitado na vertical;[0,05]
10.Ao clicar na opção “Home” do menu deve ser direcionado para a “Tela principal”;[0,05]
11.Ao clicar na opção “Cursos” do menu deve ser direcionado para a “Tela de cursos”;[0,05]
12.Ao clicar na opção “Logout” do menu deve ser direcionado para a “Tela de login”;[0,05]
13.Ao clicar sobre a foto do usuário no menu deve ser direcionado a “Tela perfil”;[0,05]
14.O campo de “Busca” deve ter simulação de entrada de dados; [0,05] 
15.Após simulação de entrada de dados no campo "Busca" ao clicar no ícone da lupa deve haver filtragem da lista de cursos abaixo;[0,1]</t>
  </si>
  <si>
    <t>Cursos: Componentes visuais</t>
  </si>
  <si>
    <t xml:space="preserve">1.Menu tipo sandwish [0,05] com os componentes: Botão ou ícone voltar/fechar [0,04], Foto do usuário [0,04],  Item (ícone e texto) Home [0,04], Item (ícone e texto) Cursos [0,04], Item (ícone e texto) Logout [0,04], Botão do tipo Toggle Switch com o texto “Dark mode” [0,04]; 
3. Logo do aplicativo; [0,05] 
4. Boas-vindas com a frase “Bom dia, João da Silva” [0,03] 
5. input para busca de cursos contendo placeholder “Busca” e ícone de pesquisa dentro do input para buscar cursos; [0,05] 
6. Lista de cursos em botões com o nome do curso; [0,08] 
</t>
  </si>
  <si>
    <t>Cursos: Requisitos de design</t>
  </si>
  <si>
    <t>1.Ao clicar no ícone de sandwish deve abrir o menu lateral com animação de entrada da esquerda para a direita; [0,15]
2.Ao clicar no botão ou ícone de voltar/fechar deve fechar o menu com animação da direita para a esquerda; [0,15]
3.A lista de cursos deve conter exatamente os mesmos cursos listados no wire-frame; [0,1]
4.Ao clicar no curso “Português” deve abrir o “Modal de detalhes do curso”; [0,1]</t>
  </si>
  <si>
    <t>Modal - Detalhes do curso: Componentes visuais</t>
  </si>
  <si>
    <t>1.Título com o texto “Português”; [0,05]
2.Texto de descrição “Descrição: Língua portuguesa e literatura”; [0,05]
3.Texto “Atividades”; [0,05]
4.Lista de Atividades[0,05] contendo os ítens: Lista de exercícios [0,05], Desafio de matrizes [0,05], Desafio de lógica [0,05], Atividade 01 [0,05]
5.Botão com o texto “Fechar” [0,05]
6.Botão com o texto “Matricular-se” [0,05]</t>
  </si>
  <si>
    <t>Modal - Detalhes do curso: Requisitos de design</t>
  </si>
  <si>
    <t>1.Ao abrir o modal deve apresentar animação de entrada deslizando de cima para baixo até ficar centralizado na página; [0,1]
2.Ao clicar no botão fechar o modal deve ser fechado com animação de deslizar de baixo para cima voltando para a tela que o acionou; [0,1]
3.Ao clicar no botão “Matricular-se” , deve-se apresentar ao usuário uma mensagem do tipo toasty com o texto “Matrícula realizada com sucesso!”; [0,05]
4.Ao clicar no botão “Matricular-se” o texto do botão, deve ser alterado para “Cancelar Matrícula”, após a mensagem de confirmação; [0,05]</t>
  </si>
  <si>
    <t>Cadastro: Componentes visuais</t>
  </si>
  <si>
    <t>1.Logo do aplicativo;  [0,05]
2.Título “Cadastro”;  [0,05]
3.Input com o placeholder “Nome completo”;  [0,05]
4.Input com o placeholder “Digite seu CPF”;  [0,05]
5.Input com o placeholder “Digite seu e-mail”;  [0,05]
6.Input com o placeholder “Digite sua senha”;  [0,05]
7.Input com o placeholder “Repita a senha”;  [0,05]
8.Barra de progresso com texto “força da senha”;  [0,05]
9.Botão com o texto “Registrar” ;  [0,05]</t>
  </si>
  <si>
    <t>Cadastro: Requisitos de design</t>
  </si>
  <si>
    <t>Cadastro de imagem e áudio: Componentes visuais</t>
  </si>
  <si>
    <t>1.Logotipo do aplicativo; [0,05]
2. Título “Cadastro; [0,05]
3.ícone da câmera; [0,05]
4.Retângulo representando a área de uma figura e contendo uma elipse representando a centralização do rosto de uma fotografia; [0,05]
5.Gráfico de linhas representando áudio; [0,05]
6.Texto com a frase “Grave um áudio de apresentação”; [0,05]
7.Botão com o texto “Concluir cadastro”; [0,05]</t>
  </si>
  <si>
    <t>Cadastro de imagem e áudio: Requisitos de design</t>
  </si>
  <si>
    <t>1.Todos os elementos devem possuir animação de entrada deslizando da esquerda para a direita; [0,03] por componente, 7 componentes;
2.Ao clicar no ícone da câmera a imagem do rosto de uma pessoa deve aparecer no retângulo abaixo centralizada na elipse, na parte de fora da elipse a imagem deve ficar 50% de opacidade; [0,3]
3.Ao clicar no texto “Grave um áudio de apresentação”, o gráfico de linhas que representa o áudio de ficar animado, simulando/indicando que está ocorrendo a gravação de um áudio; [0,2]
4.Ao clicar no botão “Concluir cadastro” , deve-se apresentar ao usuário uma mensagem do tipo toasty com o texto “Cadastro realizada com sucesso!”; [0,04]
5.Ao clicar no botão “Concluir cadastro” deve ser redirecionada para a “Tela de login”, após a mensagem de confirmação; [0,05].</t>
  </si>
  <si>
    <t>Perfil: Componentes visuais</t>
  </si>
  <si>
    <t>1.Logo do aplicativo;[0,05]
2.Título “Perfil”;[0,05]
3.Ícone da Câmera;[0,05]
4.Retângulo representando a área de uma figura e contendo uma elipse representando a centralização do rosto de uma fotografia;[0,05]
5.Input para nome;[0,05]
6.Input para CPF;[0,05]
7.Input para e-mail;[0,05]
8.Input com o placeholder “Digite sua senha”;[0,05]
9.Input com o placeholder “Repita a senha”;[0,05]
10.Botão com o texto “Salvar dados”;[0,05]
11.Botão com o texto “Voltar ao início”.[0,05]</t>
  </si>
  <si>
    <t>Perfil: Requisitos de design</t>
  </si>
  <si>
    <t>1.Ao abrir a tela deve-se apresentar animação de entrada de todos os elementos do formulário inclusive botões, 
deslizando da esquerda para a direita, de forma encadeada;[0,1]
2.Ao sair da tela deve-se apresentar animação de saída de todos os elementos do formulário inclusive botões, deslizando 
para a direita de forma encadeada;[0,1]
3.Ao abrir a tela os inputs de nome, CPF e e-mail, devem vir preenchidos com os dados do usuário logado;[0,05]
4.Os inputs de nome, CPF e e-mail devem possuir simulação de alteração de dados.[0,1]
5.Os inputs Digite sua senha e Repita a senha devem possuir simulação de entrada de dados e ser preenchidos por bolinhas.[0,05]
6.Ao clicar no botão “Salvar dados”, deve-se apresentar ao usuário uma mensagem do tipo toasty com o texto “Registro atualizado com sucesso!”;[0,05]
7.Ao clicar no botão “Salvar dados” deve ser direcionado para a “Tela Principal”, após a mensagem de confirmação, sem a necessidade de apertar nenhum botão ou qualquer intervenção do usuário;[0,05]
8.Ao clicar no botão “Voltar ao início” deve ser direcionado para a “Tela Principal”.[0,05]</t>
  </si>
  <si>
    <t>Recuperar senha: Componentes visuais</t>
  </si>
  <si>
    <t>Recuperar senha: Requisitos de design</t>
  </si>
  <si>
    <t>1.Ao abrir a tela os inputs de senha não devem aparecer. 2 inputs [0,10] por input;
2.O input “Digite seu CPF” deve possuir simulação de entrada de dados. [0,10]
3.Ao clicar no botão “Utilizar Biometria” os dois inputs de senha devem aparecer com animação de entrada de baixo para cima e se posicionar abaixo do input de CPF. 2 inputs [0,10] por input;
4.Ainda ao clicar no botão “Utilizar Biometria” após o a entrada dos campos de senha o texto deste botão deve mudar para “Registrar” [0,15]
5.Ao clicar no botão “Registrar” , deve-se apresentar ao usuário uma mensagem do tipo toasty com o texto “Registro atualizado com sucesso!”; [0,05]
6.Ao clicar no botão “Registrar” deve ser direcionado para a “Tela de Login”, após a mensagem de confirmação, sem a necessidade de apertar nenhum botão ou qualquer intervenção do usuário. [0,05]</t>
  </si>
  <si>
    <t>O design visual geral do Figma funciona, cada página tem algumas melhorias de design.</t>
  </si>
  <si>
    <t>Não existe nenhum design visual, semelhante a wireframes. (o aspecto encontra-se abaixo do padrão aceitável pela indústria ou comércio, incluindo o fato de não ter sido finalizado.)</t>
  </si>
  <si>
    <t>Existem poucas otimizações de design visual, mas telas representam o que foi solicitado nos wireframes. 
(o aspecto encontra-se no padrão aceitável pela indústria, comércio ou serviço.)</t>
  </si>
  <si>
    <t>A otimização de elementos visuais, como correspondência de cores, design de botões e layout de conteúdo, melhorou 
efetivamente o efeito do mapa geral do protótipo. (o aspecto encontra-se com pequena melhoria em relação ao padrão
aceitável pela indústria, comércio ou serviço.)</t>
  </si>
  <si>
    <t>Fiquei impressionado com o design requintado dos protótipos de alta fidelidade. (o aspecto encontra-se muito acima do padrão aceitável pela indústria, comércio ou serviço, sendo de excelência.)</t>
  </si>
  <si>
    <t>A experiência de usar o protótipo no Figma</t>
  </si>
  <si>
    <t>Os trabalhos do Figma não podem ser visualizados. (o aspecto encontra-se abaixo do padrão aceitável pela indústria ou 
comércio, incluindo o fato de não ter sido finalizado.)</t>
  </si>
  <si>
    <t>As expectativas de operação das telas no figma são consistentes com o que foi solicitado. (o aspecto encontra-se no 
padrão aceitável pela indústria, comércio ou serviço.)</t>
  </si>
  <si>
    <t>Além do que foi solicitado, foram adicionados novas telas e elementos de tela. (o aspecto encontra-se com pequena melhoria em relação ao padrão aceitável pela indústria, comércio ou serviço.)</t>
  </si>
  <si>
    <t>As telas e elementos de telas adicionados podem melhorar efetivamente a experiência do usuário. 
(o aspecto encontra-se muito acima do padrão aceitável pela indústria, comércio ou serviço, sendo de excelência.)</t>
  </si>
  <si>
    <t>Dashboard - Cabeçalho:</t>
  </si>
  <si>
    <t>1.Ícone Home;[0,05]
2.Texto de título: “Dashboard”;[0,05]
3.Botão de seleção do formato Card;[0,05]
4.Botão de seleção do formato Lista;[0,05]</t>
  </si>
  <si>
    <t>Dashboard - Campo Pesquisa e Listagem de Cursos:</t>
  </si>
  <si>
    <t>Dashboard - Botões e Navegação:</t>
  </si>
  <si>
    <t>Cadastro de Cursos - Cabeçalho:</t>
  </si>
  <si>
    <t>Cadastro de Cursos - Formulario:</t>
  </si>
  <si>
    <t>3.Nome Completo, tipo texto – min. 10 caracteres e max. 50, com ao menos nome e um sobrenome;[0,1]
4.Nome Breve, tipo texto – max. 15 Caracteres;[0,05]
5.Campo categoria, deve ter as categorias dos cursos (consumir do arquivo JSON);[0,1]
6.Campo visível, tipo On/Off;[0,05]
7.Campos Data Início / Data Fim, devem ser do tipo data e permitir a seleção no calendário;[0,05]
8.O campo data inicio: O app não deve permitir que os dados sejam gravados com seleção da data anterior ao dia de hoje;[0,05]
9.O campo data fim: O app não deve permitir que os dados sejam gravados caso a seleção desta data seja anterior a data início;[0,05]
10.Sumário do curso, tipo texto – Múltiplas linhas. Máximo 200 caracteres;[0,05]
11.Campo Formato, deve possuir as seguintes opções:-Atividade Única,-Formato Social,-Formato tópicos,
-Formato semanal;[0,05]
12.Lista Professor, lista dos professores adicionados ao curso;[0,1]
13.Botão/Ícone “+” no topo da lista de professores, ao dar um Tap deverá apresentar o modal de adição de professores;[0,1]
14.Botão Salvar, deve-se salvar o curso, esses dados devem ser persistidos, quer dizer ao fechar o app e abrir novamente as informações do novo curso devem ser apresentadas na Home (página dashboard cursos);[0,15]
15.Botão X ou Cancelar, ao dar um Tap deve redirecionar para tela Dashboard;[0,05]</t>
  </si>
  <si>
    <t>Cadastro de Cursos - Seleção de Professores</t>
  </si>
  <si>
    <t>16.Na lista de professores deve conter a opção de “swipe to delete” (arrastar para esquerda – exibir ícone de lixeira) ao clicar na lixeira o professor deve ser removido da lista;[0,1]
17.A lista deve aceitar no máximo 5 professores;[0,1]
18.Modal seleção múltipla professores: deve exibir a lista de professores (consumir do JSON);[0,1] 
19.A lista de professores no modal deve apresentar nome do professor e botão (+) ou botão (-);[0,05]
20.Caso o professor já esteja com nome adiciona a lista na tela de cadastro de cursos, o botão deverá ser (-) e ao dar um Tap deverá mudar para o botão (+);[0,05]
21.Caso o professor não tenha seu nome adiciona a lista na tela de cadastro de cursos, o botão deverá ser (+) e ao dar um Tap deverá mudar para o botão (-);[0,05]
22.Ao clicar nos botões + ou -, essa ação refletiu na lista de professores contida na tela de cadastro de cursos, quando clicado no botão + e fechamos o modal o professor foi adicionado a lista, quando clicado no botão - e fechado o modal o nome do professor é retidado da lista;[0,2]</t>
  </si>
  <si>
    <t>Listagem de Professores - Cabeçalho:</t>
  </si>
  <si>
    <t>Lsiatgem de Professores - Geral</t>
  </si>
  <si>
    <t>Listagem de Professores - Botões e Navegação:</t>
  </si>
  <si>
    <t>Cadastro de Professores - Cabeçalho:</t>
  </si>
  <si>
    <t>Cadastro de Professores - Formulario:</t>
  </si>
  <si>
    <t>Relatórios - Cabeçalho:</t>
  </si>
  <si>
    <t>Relatórios - Geral</t>
  </si>
  <si>
    <t>Relatórios - Botões e Navegação:</t>
  </si>
  <si>
    <t>Teste Automatizado etapa - 1</t>
  </si>
  <si>
    <t>A aplicação inicia normalmente</t>
  </si>
  <si>
    <t>Teste Automatizado etapa - 2</t>
  </si>
  <si>
    <t>Mensagem de erro: “Caracteres inválidos não são aceitos”.</t>
  </si>
  <si>
    <t>Teste Automatizado etapa - 3</t>
  </si>
  <si>
    <t>Teste Automatizado etapa - 4</t>
  </si>
  <si>
    <t>Exibir cursos "Matemática" e "Matemática-Avançada".</t>
  </si>
  <si>
    <t>Teste Automatizado etapa - 5</t>
  </si>
  <si>
    <t>Mensagem "Nenhum curso encontrado" ou similar.</t>
  </si>
  <si>
    <t>Teste Automatizado etapa - 6</t>
  </si>
  <si>
    <t>Todos os cursos são exibidos novamente</t>
  </si>
  <si>
    <t>Teste Automatizado etapa - 7</t>
  </si>
  <si>
    <t>Visualização da lista de cursos em formato grid e botão correspondente ao modo atual fica destacado/ativo.</t>
  </si>
  <si>
    <t>Teste Automatizado etapa - 8</t>
  </si>
  <si>
    <t>Modal exibindo informações do curso de "Lógica de Programação"</t>
  </si>
  <si>
    <t>Teste Automatizado etapa - 9</t>
  </si>
  <si>
    <t>Visualização da lista de cursos em formato lista e botão correspondente ao modo atual fica destacado/ativo.</t>
  </si>
  <si>
    <t>Teste Automatizado etapa - 10</t>
  </si>
  <si>
    <t>Modal de alteração de curso Lógica de Programação com os dados preenchidos.</t>
  </si>
  <si>
    <t>Teste Automatizado etapa - 11</t>
  </si>
  <si>
    <t>Redirecionamento para a tela de Cadastro de Cursos.</t>
  </si>
  <si>
    <t>Teste Automatizado etapa - 12</t>
  </si>
  <si>
    <t>Mensagem “Nome completo é obrigatório”</t>
  </si>
  <si>
    <t>Teste Automatizado etapa - 13</t>
  </si>
  <si>
    <t>O Nome Completo “Desenvolvimento de Aplicativos Móveis” é exibido no campo.</t>
  </si>
  <si>
    <t>Teste Automatizado etapa - 14</t>
  </si>
  <si>
    <t>Mensagem “Nome breve é obrigatório”</t>
  </si>
  <si>
    <t>Teste Automatizado etapa - 15</t>
  </si>
  <si>
    <t>O Nome Breve “Mobile” é exibido no campo.</t>
  </si>
  <si>
    <t>Teste Automatizado etapa - 16</t>
  </si>
  <si>
    <t>Mensagem “Categoria é obrigatório”</t>
  </si>
  <si>
    <t>Teste Automatizado etapa - 17</t>
  </si>
  <si>
    <t>Categoria “Qualidade de Software”, fica selecionada no Combo Categorias.</t>
  </si>
  <si>
    <t>Teste Automatizado etapa - 18</t>
  </si>
  <si>
    <t>Mensagem “Data início é obrigatória”</t>
  </si>
  <si>
    <t>Teste Automatizado etapa - 19</t>
  </si>
  <si>
    <t>Mensagem “Data início não pode ser anterior ao dia atual”</t>
  </si>
  <si>
    <t>Teste Automatizado etapa - 20</t>
  </si>
  <si>
    <t>A data “12/11/2025” aparece selecionada no campo data início</t>
  </si>
  <si>
    <t>Teste Automatizado etapa - 21</t>
  </si>
  <si>
    <t>Mensagem “Data fim não pode ser anterior a data de início”</t>
  </si>
  <si>
    <t>Teste Automatizado etapa - 22</t>
  </si>
  <si>
    <t>A data “12/12/2025” aparece selecionada no campo data fim</t>
  </si>
  <si>
    <t>Teste Automatizado etapa - 23</t>
  </si>
  <si>
    <t>Mensagem “Selecione ao menos um professor”</t>
  </si>
  <si>
    <t>Teste Automatizado etapa - 24</t>
  </si>
  <si>
    <t>Mensagem de erro informando o número máximo permitido.</t>
  </si>
  <si>
    <t>Teste Automatizado etapa - 25</t>
  </si>
  <si>
    <t>2 Professores são removidos e os ícones alteram seu estado</t>
  </si>
  <si>
    <t>Teste Automatizado etapa - 26</t>
  </si>
  <si>
    <t>Curso é salvo, é exibido a mensagem “Curso salvo com sucesso!” e usuário redirecionado para o Dashboard.</t>
  </si>
  <si>
    <t>Teste Automatizado etapa - 27</t>
  </si>
  <si>
    <t>Redirecionamento para a tela de Professores.</t>
  </si>
  <si>
    <t>Teste Automatizado etapa - 28</t>
  </si>
  <si>
    <t>Redirecionamento para a tela de Cadastro de Professores.</t>
  </si>
  <si>
    <t>Teste Automatizado etapa - 29</t>
  </si>
  <si>
    <t>Mensagem “Nome é obrigatório”</t>
  </si>
  <si>
    <t>Teste Automatizado etapa - 30</t>
  </si>
  <si>
    <t>O Nome “Robson Denner” é exibido no campo.</t>
  </si>
  <si>
    <t>Teste Automatizado etapa - 31</t>
  </si>
  <si>
    <t>Mensagem de erro informando o formato inválido do E-mail.</t>
  </si>
  <si>
    <t>Teste Automatizado etapa - 32</t>
  </si>
  <si>
    <t>O Email é exibido no campo.</t>
  </si>
  <si>
    <t>Teste Automatizado etapa - 33</t>
  </si>
  <si>
    <t>Professor é salvo, é exibido a mensagem “Professor salvo com sucesso!” e usuário redirecionado para a tela Professores.</t>
  </si>
  <si>
    <t>Teste Automatizado etapa - 34</t>
  </si>
  <si>
    <t>Redirecionamento para a tela de Relatórios.</t>
  </si>
  <si>
    <t>Teste Automatizado etapa - 35</t>
  </si>
  <si>
    <t>Mensagem de erro informando a necessidade de selecionar pelo menos um curso ou professor.</t>
  </si>
  <si>
    <t>Teste Automatizado etapa - 36</t>
  </si>
  <si>
    <t>Abre um modal para seleção múltipla de cursos.</t>
  </si>
  <si>
    <t>Teste Automatizado etapa - 37</t>
  </si>
  <si>
    <t>Icone de “+” do curso “Matemática” é alterado para o ícone “-”</t>
  </si>
  <si>
    <t>Teste Automatizado etapa - 38</t>
  </si>
  <si>
    <t>Icone de “+” do curso “Português” é alterado para o ícone “-”</t>
  </si>
  <si>
    <t>Teste Automatizado etapa - 39</t>
  </si>
  <si>
    <t>Icone de “+” do curso “Biologia” é alterado para o ícone “-”</t>
  </si>
  <si>
    <t>Teste Automatizado etapa - 40</t>
  </si>
  <si>
    <t>Icone de “-” do curso “Biologia” é alterado para o ícone “+”</t>
  </si>
  <si>
    <t>Teste Automatizado etapa - 41</t>
  </si>
  <si>
    <t>Modal é fechado e os cursos escolhidos aparecem na caixa de cursos selecionados.</t>
  </si>
  <si>
    <t>Teste Automatizado etapa - 42</t>
  </si>
  <si>
    <t>Curso “Matemática” é removido da caixa de cursos selecionados.</t>
  </si>
  <si>
    <t>Teste Automatizado etapa - 43</t>
  </si>
  <si>
    <t>Abre o modal de seleção múltipla de professores.</t>
  </si>
  <si>
    <t>Teste Automatizado etapa - 44</t>
  </si>
  <si>
    <t>Icone de “+” do professor “Ana Silva” é alterado para o ícone “-”</t>
  </si>
  <si>
    <t>Teste Automatizado etapa - 45</t>
  </si>
  <si>
    <t>Icone de “+” do professor “Caio Martins” é alterado para o ícone “-”</t>
  </si>
  <si>
    <t>Teste Automatizado etapa - 46</t>
  </si>
  <si>
    <t>Icone de “-” do professor “Caio Martins” é alterado para o ícone “+”</t>
  </si>
  <si>
    <t>Teste Automatizado etapa - 47</t>
  </si>
  <si>
    <t>Modal é fechado e apenas a professora “Ana Silva” aparece na caixa de professores selecionados.</t>
  </si>
  <si>
    <t>Teste Automatizado etapa - 48</t>
  </si>
  <si>
    <t>Relatório com dados dos cursos e professores selecionados, consumidos do arquivo Json é exibido no textarea.</t>
  </si>
  <si>
    <t>Teste Automatizado etapa - 49</t>
  </si>
  <si>
    <t>PDF é gerado e exibido com os dados dos professores e cursos selecionados.</t>
  </si>
  <si>
    <t>Teste Automatizado etapa - 50</t>
  </si>
  <si>
    <t>Usuário é redirecionado para a tela Dashboard.</t>
  </si>
  <si>
    <t>Teste automatizado - tempo de espera</t>
  </si>
  <si>
    <t>Facilidade de uso do aplicativo</t>
  </si>
  <si>
    <t>O aplicativo não funciona normalmente  (o aspecto encontra-se abaixo do padrão aceitável pela indústria ou 
comércio, incluindo o fato de não ter sido finalizado.)</t>
  </si>
  <si>
    <t>O aplicativo funciona normalmente, mas faltam algumas funcionalidades (o aspecto encontra-se no 
padrão aceitável pela indústria, comércio ou serviço.)</t>
  </si>
  <si>
    <t>O aplicativo é executado normalmente e as funções foram concluídas.(o aspecto encontra-se com pequena melhoria em relação ao padrão aceitável pela indústria, comércio ou serviço.)</t>
  </si>
  <si>
    <t>O aplicativo funciona normalmente e a experiência funcional é boa. (o aspecto encontra-se muito acima do padrão aceitável pela indústria, comércio ou serviço, sendo de excelência.)</t>
  </si>
  <si>
    <t>Instruções para o Competidor 2</t>
  </si>
  <si>
    <t>Instruções para o competidor 3</t>
  </si>
  <si>
    <t>A nomenclatura do aplicativo está correta "Aprender+"</t>
  </si>
  <si>
    <t>Os elementos da SplashScreen incluem</t>
  </si>
  <si>
    <t>•	Logo centralizado
•	Fundo com gradiente
Reduza 0,25 para cada elemento ausente ou incorreto.</t>
  </si>
  <si>
    <t xml:space="preserve">Requisitos funcionais da SplashScreen </t>
  </si>
  <si>
    <t>Os elementos da Login incluem</t>
  </si>
  <si>
    <t>•	Logo centralizado na horizontal
•	Texto “Digite seu PIN de acesso”
•	4x caixas para inserir pin
•	Botão “Entrar”
Reduza 0,125 para cada elemento ausente ou incorreto.</t>
  </si>
  <si>
    <t xml:space="preserve">Requisitos funcionais do Login </t>
  </si>
  <si>
    <t>Os elementos da Página Inicial incluem</t>
  </si>
  <si>
    <t xml:space="preserve">Requisitos funcionais da Página Inicial </t>
  </si>
  <si>
    <t>Os elementos da página de resumos incluem</t>
  </si>
  <si>
    <t>Requisitos funcionais da página de resumos - 1</t>
  </si>
  <si>
    <t>Requisitos funcionais da página de resumos - 2</t>
  </si>
  <si>
    <t>Os elementos da página artigo incluem</t>
  </si>
  <si>
    <t>Requisitos funcionais da Página artigo - 1</t>
  </si>
  <si>
    <t>Requisitos funcionais da Página artigo - 2</t>
  </si>
  <si>
    <t>Os elementos da página de perfil incluem</t>
  </si>
  <si>
    <t>•	Menu Inferior com 3 opções: Tela Home, Tela Perfil, Tela Resumos
•	Título “Perfil” na barra superior, com ícone de voltar no canto esquerdo.
•	Imagem do usuário (avatar/redonda) ao centro, com ícone de câmera sobreposto no canto inferior direito da imagem.
•	Botão “Editar Perfil” com ícone e texto “Editar Perfil”
•	Seção “Configurações”, com título em negrito
•	Botão de alternância “Tema Escuro” com: ,Ícone respectivo, Texto “Tema Escuro”, Toggle	 
•	Botão de alternância “Alto Contraste” com: Ícone respectivo, Texto “Alto Contraste”, Toggle 
•	Botão de seleção “Idioma: Português (automático)”, com: Ícone de globo, Ícone de seta
•	Botão de alternância “Notificações” com:Ícone de sino, Texto “Notificações”, Toggle cinza à direita
•	Botão “Sair”: Fundo roxo, centralizado, Ícone de saída à esquerda do texto, Texto branco “Sair” ao centro
Reduza 0,15 para cada elemento ausente ou incorreto.</t>
  </si>
  <si>
    <t>Requisitos funcionais da Página de perfil</t>
  </si>
  <si>
    <t>Demandas Gerais</t>
  </si>
  <si>
    <t>O Aplicativo possui suporte multilíngue (Português e Inglês) baseado na linguagem do sistema.</t>
  </si>
  <si>
    <t>Funcionalidades AM</t>
  </si>
  <si>
    <t>Funcionalidades PM</t>
  </si>
  <si>
    <t>Entrega</t>
  </si>
  <si>
    <t>B2</t>
  </si>
  <si>
    <t>Tela Home: Elementos</t>
  </si>
  <si>
    <t>Tela Home: Requisitos</t>
  </si>
  <si>
    <t>Tela Login: Elementos</t>
  </si>
  <si>
    <t>Tela Login Requisitos</t>
  </si>
  <si>
    <t>Página de cursos: Elementos</t>
  </si>
  <si>
    <t>Página de cursos: Requisitos</t>
  </si>
  <si>
    <t>Tela Detalhes do Curso: Elementos</t>
  </si>
  <si>
    <t>Telas Detalhes do Curso: Requisitos</t>
  </si>
  <si>
    <t>Tela calendário: Elementos</t>
  </si>
  <si>
    <t>Tela calendário: Requisitos</t>
  </si>
  <si>
    <t>Tela de Perfil: Elementos</t>
  </si>
  <si>
    <t>Design PM</t>
  </si>
  <si>
    <t>Existe uma navegação entre todas as telas criadas via barra inferior persistente com indicação de de status para a tela respectiva.</t>
  </si>
  <si>
    <t>1.Exibir a Splashscreen por 10 segundos ao entrar no app pela primeira vez [0,1]
2.Exibir a Splashscreen por 3 segundos nas vezes seguintes [0,2]
3.Ao entrar na tela, Iniciar animação igual ao vídeo “SplashScreen” (MidiaFiles) [0,3]
4.Navegar automaticamente para a tela de Login após a animação [0,2]
5.Permanecer sempre no formato vertical [0,3]</t>
  </si>
  <si>
    <t>•	Texto de saudação “Olá, Estudante!”
•	Ícone de notificação
•	Carrossel
•	Indicador para o estado do carrossel
•	Texto “Artigos”
•	Lista de artigos
•	Artigo: Título, Descrição, Data
•	Menu Inferior com 3 opções: Tela Home, Tela Perfil, Tela Resumos
•	Carrossel: Título do artigo, Botão “Começar agora”
Reduza 0,12 para cada elemento ausente ou incorreto.</t>
  </si>
  <si>
    <t>1.Ao clicar no botão com ícone de microfone, o ícone ficará vermelho e a partir do momento, o áudio está sendo gravado [0,5]  
2.No mesmo momento a progressbar começa a subir contabilizando um timer de 1 minuto no máximo. [0,4]  
3.Ao apertar novamente no botão de microfone, o áudio para de ser gravado, salva a gravação, adiciona no topo da lista de audio e o botão volta a ser branco. [0,2]</t>
  </si>
  <si>
    <t>•	Menu Inferior com 3 opções: Perfil, Home e Resumos
•	Botão com ícone de microfone
•	Texto “Grave seus resumos e salve aqui” centralizado na horizontal e vertical da tela
•	Card com áudio gravado: ícone de play,Título,Descrição,ícone de lixeira (Opcional: Audio no MidiaFiles)
•	ProgressBar indicando o tempo que resta para o usuário gravar o áudio
Reduza 0,2 para cada elemento ausente ou incorreto.</t>
  </si>
  <si>
    <t>•	Aba  superior: Seta para a esquerda, Ícone compartilhar
•	Título respectivo do artigo (MidiaFiles)
•	Descrição de criação e data de publicação
•	Vídeos respectivo do artigo
•	Informações sobre o artigo
•	Aba inferior: Ícone de tamanho de fonte, Botão “Ouvir artigo”, Botão de configuração
•	ProgressBar para alterar o brilho do celular com dois ícones (Lua e Sol)
Reduza 0,15 para cada elemento ausente ou incorreto.</t>
  </si>
  <si>
    <t>1.Permanecer sempre no formato vertical [0,2]  
2.O botão de voltar deve retornar para a tela anterior ao ser pressionado, sem perder o estado do app. [0,3]  
3.Avatar do usuário: Ao tocar no ícone de câmera sobreposto, exibir um modal com duas opções: a) “Tirar foto” (abre a câmera). b) “Escolher da galeria” (abre seletor de imagens) [0,4]  
4.Após escolher uma imagem e capturar uma imagem, deve atualizar o avatar exibido com a nova respectiva foto. [0,3]  
5.Alternância “Tema Escuro”: Ativar/desativar o modo escuro do app imediatamente ao ser acionado. [0,4]  
6.Botão “Sair”: Redireciona para a tela de login [0,2]</t>
  </si>
  <si>
    <t>O projeto está na pasta com nomeclatura e local (Pasta,Projeto,Apk) correto com o projeto e arquivo .apk</t>
  </si>
  <si>
    <t>O layout, design e usabilidade não segue boa práticas de UI /UX  e as diretrizes de design fornecidas. Há desalinhamentos, fontes incorretas, cores fora do padrão e inconsistência visual evidente.</t>
  </si>
  <si>
    <t>O layout, design e usabilidade seguem parcialmente as boa práticas de UI /UX e suas diretrizes, mas apresenta problemas de alinhamento, uso inadequado da paleta de cores/fontes de texto ou inconsistências visuais.</t>
  </si>
  <si>
    <t>O layout, design e usabilidade segue as diretrizes com um bom desing de UI/UX, com a fonte Montserrat, uso correto da paleta de cores e um bom alinhamento. Pequenos ajustes seriam necessários, mas a identidade visual é preservada.</t>
  </si>
  <si>
    <t>O layout, design e usabilidade está surpreendente segundo os design de UI/UX. Uso correto da fonte Montserrat, paleta de cores, alinhamento e proporções impecáveis. Apresentação visual supera os padrôes da industria.</t>
  </si>
  <si>
    <t>1.É possível deixar a tela em formato horizontal e em formato vertical [0,2]  
2.Ao clicar na seta de voltar, volta para a tela inicial [0,2]  
3.Ao clicar no ícone de alterar tamanho da fonte, exibe um alertdialog que seja possível alterar o tamanho da fonte do aplicativo entre “Pequeno”, “Médio” e “Grande". [0,4]  
4.É possível alterar o brilho do celular, usando o ProgressBar, estando respectivamente nos mesmos níveis.(Teste Físico) [0,4]  
5.É necessário rolar a tela para baixo para visualizar todo o conteúdo do artigo [0,1]</t>
  </si>
  <si>
    <t>Tela Splash: Requisitos Funcionais</t>
  </si>
  <si>
    <t>Tela Splash: Requisitos Visuais</t>
  </si>
  <si>
    <t>Tela 01 - Autenticação: Requisitos Visuais</t>
  </si>
  <si>
    <t>Tela Inicial: Requisitos Funcionais</t>
  </si>
  <si>
    <t>Tela Inicial: Requisitos Visuais</t>
  </si>
  <si>
    <t>Autenticação: Requisitos Funcionais Gerais</t>
  </si>
  <si>
    <t>Detalhes da Escola: Requisitos Visuais</t>
  </si>
  <si>
    <t>Detalhes da Escola: Requisitos Funcionais</t>
  </si>
  <si>
    <t>Autenticação: Requisitos Funcionais JWT</t>
  </si>
  <si>
    <t>Autenticação: Requisitos Funcionais Tratamento De Erros</t>
  </si>
  <si>
    <t>Autenticação: Requisitos Funcionais Persistencia de Dados</t>
  </si>
  <si>
    <t>Tela Mapa Requisitos Visuais</t>
  </si>
  <si>
    <t>Tela Mapa: Requisitos Funcionais</t>
  </si>
  <si>
    <t>Conceitos Gerais: Requisitos Visuais</t>
  </si>
  <si>
    <t>Conceitos Gerais: Requisitos Funcionais</t>
  </si>
  <si>
    <t>Ao tirar um "printscreen" de qualquer tela, o usuário deverá ser notificado [0,30]
Ao tirar um "printscreen" de qualquer tela, o print deverá ser enviado para o endpoint #06 [0,40]</t>
  </si>
  <si>
    <t>Tela de Perfil: Requisitos</t>
  </si>
  <si>
    <t>Lista de Escola: Requisitos Visuais</t>
  </si>
  <si>
    <t>Lista de Escola: Requisitos Funcionais</t>
  </si>
  <si>
    <t xml:space="preserve">1.Assim que iniciado as questões devem ser carregadas do JSON fornecido em media-files (Corrigir debugando o código na IDE);[0,10]
2.Para cada questão, deve-se chamar a tela correspondente ao seu tipo (informação contida no Json). [0,10];
</t>
  </si>
  <si>
    <t>1.Ícone voltar [0,05];
2.Texto “Quiz My Brain” [0,05];
3.Texto com a questão [0,05];
4.Textos das alternativas contendo: Letra da alternativa; 4 alternativas [0,05];Texto da alternativa; 4 alternativas [0,05];
5.Botão “Encerrar”; [0,05]
6.Botão “Próximo”; [0,05]</t>
  </si>
  <si>
    <t>1. Ícone voltar [0,05]
2. Texto “Quiz My Brain” [0,05]
3. Texto com a questão [0,05]
4. Caixa com texto “Falso” [0,05]
5. Caixa com texto “Verdadeiro” [0,05]
6. Botão “Encerrar [0,05]
7. Botão “Próximo” [0,05]</t>
  </si>
  <si>
    <t>1. Ícone voltar [0,05];
2. Texto “Quiz My Brain” [0,05];
3. Texto com a questão [0,05];
4. 3 Caixas com os termos da questão; [0,10]
5. 3 Caixas com o conceito da questão; [0,10]
6. Botão “Encerrar” [0,05];
7. Botão “Próximo” [0,05];</t>
  </si>
  <si>
    <t>1. Botão voltar [0,05]
2. Texto “MemoCheck” [0,05]
3. Texto “Tempo: 00:00” (minuto : segundos) [0,10]
4. Texto “Acertos: 00” [0,10]
5. Texto “Erros: 00“ [0,10]
6. 8 imagens [0,05] por imagem;
7. Botão “START” [0,05]
8. Texto Tema [0,05]
9. Caixa seleção de tema com as opções  [0,05]
10. Ícone Configurações [0,05]</t>
  </si>
  <si>
    <t>1.Ao abrir a tela deve apresentar animação de entrada de todos os elementos do formulário inclusive botão e barra de progresso, deslizando da esquerda para a direita de forma encadeada; [0,1]
2.Ao sair da tela deve-se apresentar animação de saída de todos os elementos do formulário inclusive botão e barra
de progresso, deslizando para a direita de forma encadeada; [0,1]
3.Todos os inputs do formulário devem possuir simulação de entrada de dados. 5 inputs [0,05] por input;
4.Tanto o input de senha quanto o de repita a senha devem possuir simulação de entrada de dados e ser preenchidos por bolinhas. 2 inputs [0,05] por input;
5.Ao clicar nos ícones de olho tanto no input de senha quanto no de repita a senha, a senha referente ao input clicado, deve ser mostrada e ao clicar novamente deve ser ocultada por bolinhas. 2 inputs [0,05] por input;
6.Ao clicar no botão “Registrar” deve ser direcionado para a “Tela de cadastro de imagem e áudio” [0,05]</t>
  </si>
  <si>
    <t>Demandas Gerais: Entrega do repositório e Navegação</t>
  </si>
  <si>
    <t>1.O projeto foi entregue dentro do servidor no tempo proposto;[0.08]
2.A nomenclatura do repositório está conforme prova: 08_Modulo_B1_XX;[0.02]
3.Existe links entre todas as telas e botões;[0,6]</t>
  </si>
  <si>
    <t>1.A duração da Splash Screen deverá ser de 5 segundos (contando todo o processo, abertura da tela e animações); [0,10]
2.O logo deverá ser animado, suavemente de cima para baixo, de um tamanho pequeno, até um tamanho similar ao wireframes;[0,20]
3.Após o término da animação, o logotipo ficou centralizado horizontalmente e verticalmente na tela;[0,20]
4.Você deverá criar uma animação também para o fundo(background) da tela, de sua escolha, seguindo a guia de estilos da marca; [0,20]
5.Após os 5 segundos da Splash Screen o usuário deverá ser redirecionado automaticamente para tela do Tutorial de integração.[0,10]</t>
  </si>
  <si>
    <t>5.A página deve conter um campo de pesquisa e a lista com os cursos;[0,1]
6.O campo de pesquisa deve conter um placeholder “Busca” e um ícone/botão de pesquisa;[0,1]
7.A listagem dos cursos deve estar disponível em 2 versões, Cards e Lista, a visualização deve ocorrer conforme seleção do botão no cabeçalho da tela;[0,15]
8.Os dados da lista de curso devem ser consumidos do arquivo Json (dados.json), contido no MediaFiles;[0,2]
9.Cada item da lista de cursos deve conter: Gráfico e número demonstrando a porcentagem concluída do curso;[0,2] / Nome Breve do curso;[0,05]</t>
  </si>
  <si>
    <t xml:space="preserve">1.Ícone Home, se clicado deve redirecionar o usuário para tela Dashboard;[0,1]
2.Texto de título: “Cursos - Novo”;[0,1]
</t>
  </si>
  <si>
    <t>1.Ícone Home, se clicado deve redirecionar o usuário para tela Dashboard;[0,1]
2.Texto de título: “Professores”;[0,1]</t>
  </si>
  <si>
    <t>1.Ícone Home, se clicado deve redirecionar o usuário para tela Dashboard;[0,1]
2.Texto de título: “Professores - Novo”;[0,1]</t>
  </si>
  <si>
    <t>1.Ícone Home, se clicado deve redirecionar o usuário para tela Dashboard;[0,1]
2.Texto de título: “Relatórios”;[0,1]</t>
  </si>
  <si>
    <t>Total de Criterios</t>
  </si>
  <si>
    <t>Curso "Matemática-Avançada" exibido.</t>
  </si>
  <si>
    <t xml:space="preserve">3.O Pop-Up com o alerta de bateria baixa, com a mensagem "Atenção. Bateria Baixa." e a imagem disponível em media-files/bateria.png, deverá ser exibido na tela do usuário:
a) quando ao usar o aplicativo a bateria do equipamento apresentar carga igual a 20%, ao ser fechado o pop-up não deve aparecer mais (Não deve ficar aparecendo diversas vezes). [0,3]
b) quando ao abrir o aplicativo a bateria do mesmo apresentar 20% de carga ou menos; [0,3]
</t>
  </si>
  <si>
    <t>6.Em qualquer momento, ao conectar um fone de ouvido com fio, deve exibir uma SnackBar com o texto “Fone de ouvido conectado, o volume do dispositivo foi definido como 50%”[0,35]
7.Em qualquer momento, ao conectar um fone de ouvido com fio, o volume do dispositivo deve ser definido em 50% do volume total do dispositivo.[0,5]</t>
  </si>
  <si>
    <t xml:space="preserve">
7.A tela deve permitir apenas visualização no formato retrato. [0,10];
8.Ao clicar em qualquer uma das alternativas, esta deve ficar destacada; [0,05];
9.Em uma segunda escolha, a alternativa marcada anteriormente deve ter sua cor de destaque removida; [0,05]
10.Ao clicar em “Encerrar” o questionário deve ser encerrado imediatamente e apresentado o score total (soma do peso das questões acertadas recuperados do JSON) e voltar para tela inicial; [0,15]
11.Ao clicar em “Próximo” deve-se destacar a alternativa correta, com uma terceira cor diferente, e manter-se na tela; [0,10]
12.Ao clicar em “Próximo” novamente a próxima questão deverá ser exibida; [0,05]
</t>
  </si>
  <si>
    <t xml:space="preserve">
9.A tela deve permitir apenas visualização no formato retrato. [0,10];
10.Ao entrar na tela uma animação em 2D deve apresentar a funcionalidade de selecionar a alternativa por rotação do dispositivo. [0,15];
11.Ao clicar na caixa com alternativa “Falso” esta deve ser marcada com qualquer cor da identidade visual que a destaque da outra, removendo a cor de destaque da alternativa restante; [0,05];
12.Ao clicar na caixa com alternativa “Verdadeiro” esta deve ser marcada com qualquer cor da identidade visual que a destaque da outra, removendo a cor de destaque da alternativa restante. [0,05];
13.Ao girar o dispositivo para a direita (horário) deve-se marcar a alternativa da direita, desmarcando a alternativa contrária. [0,15];
14.Ao girar o dispositivo para a esquerda (anti horário) deve-se marcar a alternativa da esquerda, desmarcando a alternativa contrária. [0,15];
15.Ao clicar em “Encerrar” o questionário deve ser encerrado imediatamente e apresentado o score total (soma do peso das questões acertadas recuperados do JSON - Acertar algumas e verificar o peso destas no Json) e voltar para tela inicial; [0,15];
16.Ao clicar em “Próximo” a próxima questão deverá ser exibida. [0,05];
</t>
  </si>
  <si>
    <t xml:space="preserve">8.A tela deve permitir apenas visualização no formato paisagem. [0,10];
9.Deve-se permitir relacionar a caixa de termos com a caixa de conceitos utilizando o gesto drag and drop, através da concatenaçãodos 2 itens: Exemplo:  Opção “TI” Relação: “Tecnologia da Informação” Texto apresentado: “Tecnologia da Informação: TI”;  [0,25];
10.Ao clicar em “Encerrar” o questionário deve ser encerrado imediatamente e apresentado o score total; (soma do peso das questões acertadas recuperados do JSON - Acertar algumas e verificar o peso destas no Json); [0,10];
11.Ao clicar em “Avançar” a próxima questão deverá ser exibida.  [0,05];
12. Ao término das questões disponibilizadas no arquivo JSON, a aplicação deve apresentar a pontuação total do quiz. [0,10];
</t>
  </si>
  <si>
    <t xml:space="preserve">1.A tela deve permitir apenas visualização no formato retrato. [0,05];
2.A caixa de seleção da linguagem deve iniciar de acordo com a linguagem marcada no sistema. [0,10];
3.O usuário deverá ser capaz de selecionar qual o idioma de fala das cores que o game irá utilizar. [0,05];
4.Ao apertar o botão start inicia o jogo (cronômetro começa a contar, botão start vira stop e é indicado pelo áudio a primeira cor) - Corrigir em dispositivo fisico; [0,05];
5.O áudio das cores deve ser reproduzido utilizando os arquivos em media-files/genius, obedecendo a linguagem escolhida. 5 cores/aúdios (Corrigir em dispositivo fisico) [0,05] cada acerto;
6.As sequências de cores de cada partida e mudança de nível devem ser aleatórias (Corrigir em dispositivo fisico);  [0,15];
7.Enquanto estiver ocorrendo a fala das cores, os botões de cores devem ficar desabilitados; [0,10];
8.No término da fala das cores os botões de cores devem ficar habilitados; [0,10];
9.As fases são incrementadas a cada duas partidas corretas; [0,10];
10.Na fase 1 apenas uma cor tem seu áudio reproduzido, na fase 2 apenas duas cores têm seu áudio reproduzido, na fase 3 apenas três cores têm seu áudio reproduzido e assim sucessivamente até que o jogador erre; [0,20]
11.Ao errar uma partida, o usuário deverá receber uma mensagem com o score final e tempo, voltar a fase 1 e zera o cronômetro. [0,15];
12.Ao pressionar o botão stop encerra o jogo, voltando ao início e zerando o score. [0,10];
13.Ao pressionar qualquer botão de cores deve-se inserir um efeito de acesso. [0,15];
14.Ao pressionar qualquer botão de cores deve-se reproduzir um áudio de click (ver em media-files/genius). [0,10];
15.A cada rodada correta deve incrementar 1 ponto no score, isso deve ocorrer somente quando houver o acerto. [0,15];
16.Ao clicar no botão Restart, deve-se finalizar o jogo, manter-se na tela e logo após isso, sem nenhuma nova ação ou interferência do usuário, iniciar o jogo novamente;[0,10]
17.Ao clicar no botão voltar encerra o jogo e volta para a tela “Home”. [0,05];
</t>
  </si>
  <si>
    <t>1.A tela deve iniciar com as imagens com o tema “Animais da Amazonia” (contida em media-files/memocheck/tema1 (Animais da Amazonia)) viradas para o usuário. [0,05];</t>
  </si>
  <si>
    <t>2.Sempre que as cartas forem viradas (mostrada ou escondidas) deve realizar uma animação de flip, como exemplificado no vídeo em (media-files/flip.mp4);[0,20]</t>
  </si>
  <si>
    <t>3.As imagens devem ser duplicadas e posicionadas aleatoriamente, preenchendo os 8 espaços. [0,05];</t>
  </si>
  <si>
    <t>4.Ao pressionar o botão “START”, seu texto deve ser trocado para um contador regressivo de 3 segundos. [0,10];</t>
  </si>
  <si>
    <t>5. Após os 3 segundos o botão com o contador deve apresentar a palavra “STOP” e iniciar a partida. [0,10];</t>
  </si>
  <si>
    <t>6. Ao iniciar a partida as imagens são viradas e inicia o timer. [0,10];</t>
  </si>
  <si>
    <t>7.Ao iniciar a partida a caixa de seleção de tema deve ficar desabilitada. [0,10];</t>
  </si>
  <si>
    <t>8.Quando o usuário clicar a primeira vez em qualquer imagem, a imagem clicada deverá ser mostrada. [0,05];</t>
  </si>
  <si>
    <t>9.Ao clicar na segunda imagem, se for igual a primeira ambas permanecem viradas, isso deve ocorrerr apenas se as 2 forem iguais (a mostra). [0,10];</t>
  </si>
  <si>
    <t>10.Ao clicar na segunda imagem, se for diferente da primeira ambas são viradas novamente (oculta ambas as cartas) em 1 segundo, isso deve ocorrerr apenas se as 2 forem diferentes. [0,10];</t>
  </si>
  <si>
    <t>11.Ao clicar na segunda imagem, se for igual a primeira, o contador de acertos na tela deve ser incrementado, somente o de acertos.[0,05]</t>
  </si>
  <si>
    <t>12.Ao clicar na segunda imagem, se for diferente da primeira o contador de erros na tela deve ser incrementado, somente o de erros.[0,05];</t>
  </si>
  <si>
    <t>13.Ao clicar na segunda imagem, se for diferente da primeira (errar a imagem) o dispositivo deve vibrar(Corrigir no dispositivo fisico);[0,10]</t>
  </si>
  <si>
    <t>14.Ao acertar todas as cartas o usuário deverá receber uma mensagem com o score final e tempo e encerra-se a partida; [0,05];</t>
  </si>
  <si>
    <t>15.Ao dar um tap no botão “STOP” o usuário deverá receber uma mensagem com o score final e tempo e encerra-se a partida;[0,05]</t>
  </si>
  <si>
    <t>16.Ao término da partida, através do tap no botão STOP ou o jogo sendo finalizado, os contadores de acertos e erros devem ser zerados assim como o cronometro e o botão “STOP” deve apresentar o texto “START”;” [0,05];</t>
  </si>
  <si>
    <t>18.Ao mudar o tema as imagens devem seguir o tema proposto (ver em media-files/memocheck/tema1 e tema2). [0,10];</t>
  </si>
  <si>
    <t>19.Ao clicar no ícone de configurações, a galeria deve ser aberta para que o usuário escolha quatro fotos de seu gosto para jogar. [0,15];</t>
  </si>
  <si>
    <t>20.Ao escolher as fotos na galeria as mesmas devem ser apresentadas nos cards. [0,15];</t>
  </si>
  <si>
    <t>17.Ao chacoalhar o celular as imagens devem ser trocadas de posição aleatoriamente. [0,10];</t>
  </si>
  <si>
    <t xml:space="preserve">1.A tela deve iniciar com as imagens com o tema “Animais da Amazonia” (contida em media-files/memocheck/tema1 (Animais da Amazonia)) viradas para o usuário. [0,10];
2.Sempre que as cartas forem viradas (mostrada ou escondidas) deve realizar uma animação de flip, como exemplificado no vídeo em (media-files/flip.mp4);[0,20]
3.As imagens devem ser duplicadas e posicionadas aleatoriamente, preenchendo os 8 espaços. [0,10];
4.Ao pressionar o botão “START”, seu texto deve ser trocado para um contador regressivo de 3 segundos. [0,10];
5. Após os 3 segundos o botão com o contador deve apresentar a palavra “STOP” e iniciar a partida. [0,10];
6. Ao iniciar a partida as imagens são viradas e inicia o timer. [0,10];
7.Ao iniciar a partida a caixa de seleção de tema deve ficar desabilitada. [0,10];
8.Quando o usuário clicar a primeira vez em qualquer imagem, a imagem clicada deverá ser mostrada. [0,10];
9.Ao clicar na segunda imagem, se for igual a primeira ambas permanecem viradas, isso deve ocorrerr apenas se as 2 forem iguais (a mostra). [0,10];
10.Ao clicar na segunda imagem, se for diferente da primeira ambas são viradas novamente (oculta ambas as cartas) em 1 segundo, isso deve ocorrerr apenas se as 2 forem diferentes. [0,10];
11.Ao clicar na segunda imagem, se for igual a primeira, o contador de acertos na tela deve ser incrementado, somente o de acertos.[0,05]
12.Ao clicar na segunda imagem, se for diferente da primeira o contador de erros na tela deve ser incrementado, somente o de erros.[0,05];
13.Ao clicar na segunda imagem, se for diferente da primeira (errar a imagem) o dispositivo deve vibrar(Corrigir no dispositivo fisico);[0,10]
14.Ao acertar todas as cartas o usuário deverá receber uma mensagem com o score final e tempo e encerra-se a partida; [0,10];
15.Ao dar um tap no botão “STOP” o usuário deverá receber uma mensagem com o score final e tempo e encerra-se a partida;[0,05]
16.Ao término da partida, através do tap no botão STOP ou o jogo sendo finalizado, os contadores de acertos e erros devem ser zerados assim como o cronometro e o botão “STOP” deve apresentar o texto “START”;” [0,05];
17.Ao chacoalhar o celular as imagens devem ser trocadas de posição aleatoriamente. [0,10];
18.Ao mudar o tema as imagens devem seguir o tema proposto (ver em media-files/memocheck/tema1 e tema2). [0,10];
19.Ao clicar no ícone de configurações, a galeria deve ser aberta para que o usuário escolha quatro fotos de seu gosto para jogar. [0,15];
20.Ao escolher as fotos na galeria as mesmas devem ser apresentadas nos cards. [0,15];
</t>
  </si>
  <si>
    <t>1.Texto: “Estou com saudades, volte aqui vamos jogar e aprender!”; [0,05]
2.3 cards com dados em formato numérico inteiro; [0,05]
3.Textos descritivos: QuizzMyBrain, GeniusPlay, MemoCheck; [0,10]</t>
  </si>
  <si>
    <t>1.Os slides devem ser passados pelo gesto swipe na direção lateral, tanto para direita (Vai para o próximo slide), quanto para esquerda (Volta para o slide anterior);[0,2]
2.Ao clicar no botão de avançar, o slide deverá ser trocado para o próximo.[0,1]
3.O botão avançar não deverá aparecer no último slide.[0,1]
4.Ao clicar no botão de voltar, o slide deverá ser trocado para o anterior.[0,1]
5.O botão voltar não deverá aparecer no primeiro slide.[0,1]
6.Ao entrar no tutorial de integração (primeira etapa do tutorial), deverá haver uma animação de entrada onde cada componentes (Textos, imagem, barra de progresso, ícone de avançar e botões), deve entrar de diferentes direções após a construção da tela;[0,1]
7.Ao sair do tutorial de integração (através do botão pular ou botão login), deverá haver uma animação de saída onde cada componente deve sair para diferentes direções de forma separada da tela;[0,1]
8.O botão de Login deve ser habilitado somente no último slide;[0,1]
9. A qualquer momento se clicar no botão Pular, o usuário deverá ser redirecionado para “tela de login”;[0,1]
10. Ao clicar no botão Login o usuário deverá ser direcionado para “tela de login”;[0,1]</t>
  </si>
  <si>
    <t>1.O carrossel tem que ter exatamente 3 artigos (Título) que estão presentes na lista de artigos(MidiaFiles) [0,3]
2.O indicador tem que indicar o estado atual do carrossel [0,2]
3.A lista de artigos tem que estar puxando os dados do JSON, exibindo seu titulo, descrição e data respectivamente. [0,3]
4.Ao clicar no artigo de ID = 2, o usuário deverá ser levado para a tela de artigos, exibindo os dados do respectivo do artigo que foi clicado. [0,4]</t>
  </si>
  <si>
    <t>1.Permanecer sempre no formato vertical [0,1]
2.Exibir o teclado numérico do dispositivo assim que a tela for aberta. [0,2]
3.Ao inserir um número, automaticamente navega para a próxima caixa de pin. [0,2]
4.Ao deletar um número, automaticamente navega para a caixa de pin anterior. [0,2]
5.Os inputs devem aceitar apenas a digitação de números (0 a 9). [0,2]
6.Ao inserir um valor incorreto e clicar no botão, mudar a cor (Vermelho) das caixas por 2s e retorna ao estado inicial [0,2]
7.Ao inserir um valor incorreto e clicar no botão, exibir toast “Pin incorreto” e limpa os quatro campos [0,2]
8.Ao clicar no botão entrar, os campos são obrigatórios. Se alguma caixa do PIN estiver vazia, exibir toast “Todos os campos são obrigatórios” [0,2]
9.Ao inserir “3245” e apertar no botão “Entrar” deve redirecionar para a tela inicial [0,1]</t>
  </si>
  <si>
    <t>1.Caso o tempo de 1 minuto chegue ao fim, a gravação é encerrada automáticamente e o áudio é adicionado no topo da lista, sempre acima do último áudio gravado (Verificar o audio respectivo). [0,4]  
2.Ao clicar no ícone de play no inicio do card, é possível escutar o áudio clicado e somente o icone do audio clicado é alterado para um icone de stop e só após finalizar (acabando o tempo ou clicando no botão stop), será possivel ouvir outro áudio.. [0,3]
3.Ao clicar no ícone de stop, alterar para play somente o item clicado e parar a reprodução do áudio[0,2]
4.Ao clicar no ícone de lixeira, somente o audio do icone que foi clicado deve ser deletado[0,1]</t>
  </si>
  <si>
    <t>1.O Menu Inferior (Ícone de tamanho de fonte, Botão “Ouvir artigo”, Botão de configuração) deve ser fixo e estático na tela. [0,2]  
2.Ao clicar no ícone de Ouvir artigo, o vídeo começa a rodar com áudio, indo do início até o final do tempo do vídeo e o texto desse botão deve ser alterado para “Pausar reprodução”. [0,2]
3.Ao clicar em “Pausar reprodução”, o texto deve voltar para “Ouvir artigo” e o vídeo deve ser pausado;[0,2]
4.Caso o video esteja pausado, e o usuário clique novamente em Ouvir artigo, ele deve continuar a reprodução da onde havia parado.[0,2]
5.Os textos devem ser puxados dos dados do JSON "artigo_2_detalhado" (MidiaFiles) [0,2]</t>
  </si>
  <si>
    <t xml:space="preserve">3.Deve conter um campo de pesquisa com placeholder “Busca” e um ícone/botão de pesquisa;[0,05]
4.Lista dos professores, contendo nome do professor e descrição do professor (consumir do arquivo JSON);[0,1]
5.Ao pressionar e segurar (LongPress) um item na lista de professores, deverá ser exibido um ícone de lixeira somente no item pressionado e, ao clicar no ícone, somente esse professor deve ser removido da lista;[0,15]
</t>
  </si>
  <si>
    <t>6.Deve haver na tela um Float Button Adicionar, que deverá redirecionar para tela de Cadastro de Professores;[0,05]
7.No Rodapé da tela deverá existir um NavigationBar com os itens (Contendo texto e ícone):
a)“Cursos”: Redirecionar para tela inicial;[0,05]
b)“Professores”: Desativado;[0,05]
c)“Relatórios”: Redirecionar para tela de relatórios.[0,05]</t>
  </si>
  <si>
    <t>10.Deve haver na tela um Float Button Adicionar, que deverá redirecionar para tela de Cadastro de Cursos;[0,05]
11.No Rodapé da tela deverá existir um NavigationBar com os itens (Contendo texto e ícone):
a)“Cursos”: Desativado;[0,05]
b)“Professores”: Redirecionar para tela de listagem de professores;[0,05]
c)“Relatórios”: Redirecionar para tela de relatórios.[0,05]</t>
  </si>
  <si>
    <t>3.Nome, tipo texto – máximo 60 caracteres;[0,05]
4.Campo e-mail;[0,05]
5.Campo telefone;[0,05]
6.Campo telefone deverá aceitar digitação apenas de números;[0,05]
7.Campo telefone ao dar um Tap deverá habilitar teclado apenas numérico;[0,05] 
8.Campo telefone deve conter máscara “(99) 99999-9999”;[0,05]
9.Campo descrição: máximo 200 caracteres;[0,05]
10.Espaço representando área de uma imagem;[0,05]
11.Área de Imagem, ao clicar nesta área deve ser possível, realizar a escolha de uma imagem na galeria;[0,05]
12.Área de Imagem, após a escolha da imagem na galeria do dispositivo, à mesma deve aparecer no áera da imagem;[0,1]
13.Deve ser possível dar zoom na imagem inserida na área de imagem através de gesto de pinça;[0,05]
14.Botão Salvar: Ao clicado, o professor deve ser adicionado na lista de professores e permanecer listado após reiniciar o aplicativo e o usuário deve ser redirecionado para tela de listagem de professores;[0,2]
15.Botão X ou Cancelar, ao dar um Tap deve redirecionar para tela Dashboard;[0,05]</t>
  </si>
  <si>
    <t xml:space="preserve">4.Caso o aplicativo inicie sem internet, na tela inicial deve ser apresentado um modal indicando a falta de conexão com internet com a mensagem “Sem conexão com internet, seus dados podem não estar completamente salvos.”[0,45]
</t>
  </si>
  <si>
    <t>1.O projeto foi entregue dentro do servidor no tempo proposto [0,50];
2.A nomenclatura do repositório está conforme prova: 08_Modulo_D1_XX;[0,15];
3.Ao entrar no aplicativo caso não tenha internet, a tela inicial (Somente na tela inicial) deve apresentar uma faixa vermelha com mensagem indicando uso do aplicativo em modo off-line e informando que os dados podem não estar totalmente atualizados, por conta do uso sem internet;[0,3];
4.Caso o usuário já esteja logado no app e a internet cair, independente da tela que ele esteja ele deverá receber uma mensagem indicando a falta de conectividade e ao abrir/voltar a tela inicial a faixa vermelha com mensagem indicando uso do aplicativo em modo off-line e in-formando que os dados podem não estar totalmente atualizados, por conta do uso sem internet, também deve aparecer;[0,3]
5.Caso o usuário esteja utilizando o aplicativo em modo off-line e a internet volte, a tarja ver-melha com a mensagem indicando uso do aplicativo em modo off-line e informando que os dados podem não estar totalmente atualizados, por conta do uso sem internet, seve ser removida;[0,3]
6.Na “Tela Cadastro de Professor”, deve haver bloqueio para que não seja possível o usuário realizar o prin-tscreen, no caso de tentativa o usuário deverá receber uma mensagem de aviso (Corrigir em dispositvo fisico e verificar galeria do dispositivo).[0,3]</t>
  </si>
  <si>
    <t>1.Devem ser aplicadas melhorias no design do widget, com base nas cores da guia de estilos da marca, não podendo haver quebra dos componentes e a posição dos componentes devem ser iguais ao do Wireframes; [0,15]
2.As informações demonstradas no widget, devem refletir a última pontuação obtida pelo usuário no APP. Caso não tenha havido nenhum jogo, a pontuação inicial deve ser 0;[0,20]
3.Deve ser possível incluir este widget na área de trabalho do dispositivo, através do gesto de long press no ícone do app, selecionando a opção: Widget; [0,20]
4.Ao clicar no widget o app deve ser aberto; [0,20]</t>
  </si>
  <si>
    <t>O projeto foi entregue no tempo proposto (2h30 minutos) [0,15];
O projeto foi entregue no local correto (GIT) [0,05];
O projeto foi entregue com a nomenclatura correta: 08_Modulo_A2_XX [0,10];
O projeto foi entregue com o APK compilado na raiz do projeto [0,10];
Os commits seguem o padrão proposto (Um commit para cada tela) [0,40];</t>
  </si>
  <si>
    <t xml:space="preserve">Ao iniciar o aplicativo deverá ser apresentada uma splash screen contendo a imagem da empresa centralizado tanto na vertical quanto na horizontal [0,10];
Este splash screen deverá ser exibido por dois segundos. [0,10];
Deve ser exibido em formato full screen, ou seja, sem exibir a status bar, action bar e/ou Navigation Bar. [0,10];
Deve possuir um elemento de carregamento circular (loading circle) logo abaixo da imagem da empresa. Note que a imagem deve estar perfeitamente centralizada, o carregamento deve estar logo abaixo. [0,10];
</t>
  </si>
  <si>
    <t>A animação do círculo de carregamento deve iniciar na parte superior (posição equivalente a 12 horas em um relógio) e, ao longo de 2 segundos, percorrer todo o contorno do círculo até retornar ao ponto de início. [0,10];
Deve realizar a animação no sentido horário. [0,15];</t>
  </si>
  <si>
    <t xml:space="preserve">O campo "email" existe e está visível [0,05];
O campo "email" possui um placeholder com o texto "Email" [0,05];
O campo "senha" existe e está visível [0,05];
O campo "senha" possui um placeholder com o texto "Senha" [0,05];
Existe um controle que represente a funcionalidade "Mantenha-me Conectado" que permita ser marcado/desmarcado incluindo a alteração visual. [0,10];
Existe um botão para efetuar o login com o texto “Acessar sistema”. [0,10];
</t>
  </si>
  <si>
    <t>Existe uma validação no campo email que verifique a presença do "@" e de pelo menos um "." [0,15];
Existe uma validação no campo senha, verificando se existe no mínimo 6 caracteres e contem letras e números [0,15];
Caso o usuário insira um email que não respeite a validação, foi exibida uma mensagem indicando o erro no campo email [0,15];
Caso o usuário insira uma senha que não respeite a validação, foi exibida uma mensagem indicando o erro no campo senha [0,15];
Caso o usuário insira um email e senha que não respeite a validação, foi exibida uma mensagem indicando o erro no campo email [0,15];
O campo de senha deve exibir os caracteres ocultos por padrão (utilizando bolinhas ou asteriscos) e incluir um ícone de "olho". [0,15];
Ao clicar no ícone de olho do campo senha, a senha digitada deve ser revelada; um novo clique deve voltar a ocultá-la [0,15];
Caso seja o primeiro acesso, mesmo com o controle "Mantenha-me conectado", não deve ser exibido o controle de autenticação pela biometria e nem deve ser possível autenticar com a biometria caso o usuário não tenha feito o login uma primeira vez com aquele usuário. [0,25];</t>
  </si>
  <si>
    <t xml:space="preserve">Para realizar a autenticação do usuário, verificar se foi realizada a requisição ao endpoint #01. (verificar no endpoint de log dos tokens: https://workspace.dinizeotecnologia.com.br/worldskills/A2/view_jwt_log) [0,50];
Caso o usuário feche o aplicativo e abra novamente, deve ser solicitado uma nova autenticação (não deve solicitar a validação, deve solicitar uma autenticação. Testar sem biometria) (verificar no endpoint de logs: https://workspace.dinizeotecnologia.com.br/worldskills/A2/view_jwt_log) [0,50];
Ao navegar entre as telas do aplicativo, o token deverá ser validado no endpoint #02 (consultar endpoint de log dos tokens: https://workspace.dinizeotecnologia.com.br/worldskills/A2/view_jwt_log) [0,40];
</t>
  </si>
  <si>
    <t>Caso o controle "Mantenha-me conectado" seja marcado em um acesso, nos acessos subsequentes, o controle de biometria foi exibido [0,45];
Mesmo com o controle "Mantenha-me conectado" que permite o acesso via biometria ativado, deve-se autenticar via JWT (não deve ser solicitada um validação do token e sim uma autenticação). Utilize os logs dos tokens para avaliar [0,45];</t>
  </si>
  <si>
    <t>Caso o token esteja inválido (utilize recursos do endpoint para invalidar o token), por qualquer motivo em qualquer tela, deve-se exibir uma mensagem indicando o tipo erro [0,30];
Caso o token esteja inválido (utilize recursos do endpoint para invalidar o token), por qualquer motivo em qualquer tela, o usuário deve ser direcionado para a tela de login [0,30];
No caso da autenticação, caso haja algum problema, deve ser exibida uma mensagem indicando o tipo de erro [0,30];
Caso a autenticação esteja correta, o usuário deve ser direcionado para a "Tela inicial" [0,30];</t>
  </si>
  <si>
    <t xml:space="preserve">Ao topo da tela deve possuir uma mensagem "Bem vindo, [Nome do usuário]" onde o nome do usuário deve ser obtido dos dados armazenados do usuário (obtidos anteriormente do endopoint da API). [0,15]
No centro da tela deve existir uma mensagem no formato de texto [0,10]
No topo lateral esquerdo da tela deve haver um ícone/botão para exibir o menu lateral (no formato de sandwich/hamburguer) [0,10];
O menu lateral foi construído no formato de "navigation drawer" (ou similar) e contém controles que permitam acessar as telas "Lista de escolas", "Mapa" e "Logout". [0,20]
Na abertura deste menu, este deve ser apresentado com uma animação de “slide-in”, deslizando da esquerda para a direita [0,10];
Na parte superior do menu existe o ícone/imagem da aplicação e o nome do app "Aprender+" [0,15]
</t>
  </si>
  <si>
    <t>O texto no centro da tela deve conter um texto obtido da requição ao endpoint #03 [0,15];
O nome do usuário presente na mensagem de boas vindas do item anterior deve conter apenas o primeiro nome do usuário. [0,15];
O controle "logout" reseta o token de autenticação e redireciona para a tela de login sem a solicitação de biometria (mesmo que o controle de "mantenha-me conectado" tenha sido marcado) [0,15];
Após o logout, o usuário deverá poder realizar o login novamente e mesmo que o usuário tenha marcado a opção “Mantenha-me Conectado”, o controle de autenticação via biometria não deve aparecer [0,15];</t>
  </si>
  <si>
    <t xml:space="preserve">A tela possui um controle do tipo lista [0,10];
Cada item da lista contém o nome das respectivas escolas [0,10];
Cada item da lista contém a avaliação das respectivas escolas no formato de estrelas, contendo cinco estrelas lado a lado [0,20];
</t>
  </si>
  <si>
    <t xml:space="preserve">
Esta lista é populada conforme o retorno do endpoint #05 (Realizar a alteração do nome no banco de dados e avaliar) [0,20];
A lista está ordenada em ordem alfabética (alterar nome no bd e avaliar) [0,10];
A avaliação no formato de estrelas está apresentada da seguinte forma: a parte inteira do número representa a quantidade de estrelas totalmente preenchidas, enquanto a parte decimal indica o preenchimento proporcional da estrela seguinte. Exemplo: se o valor retornado for 3.6, devem ser preenchidas 3 estrelas inteiras e 60% da quarta estrela, as demais da direita ficam vazias, mas devem ser representadas [0,40];
Ao clicar em um item da lista, deve-se abrir a tela de "Detalhes da Escola" com os dados da respectiva escola selecionada [0,20];
Caso a requisição ao endpoint retorne algum erro, este deve ser exibido no formato de popup com os detalhes do erro. (desconectar internet para verificar) [0,10];</t>
  </si>
  <si>
    <t>No topo da tela existe um controle com o nome da escola proveniente do endpoint #05 [0,05];
Deve conter um botão/ícone localizado no topo para retornar a tela anterior [0,05];
Na sequencia deve conter um controle para exibir a foto da escola [0,05];
Na sequencia deve conter um controle para exibir a avaliação da escola no formato de “happyfaces”, conforme representado no wireframe, contendo cinco rostos com escala de cor e uma barra inferior com cinco cores conforme wireframe [0,10]
Na sequencia, deve existir um controle para a exibição dos comentários [0,05];
O controle de exibição dos comentários exibe os comentários de forma estruturada, ou seja, mostra os comentários e suas respostas respeitando o recuo das respostas [0,10];
Existe um controle/conjunto que permitirá o usuário realizar um comentário [0,05];
Existe o ícone de resposta em cada comentário que abra uma popup com controles para o usuário responder este comentário [0,05];
Cada comentário e/ou resposta deve possuir um ícone (que represente um “like”) e um número inteiro que demonstre a quantidade de likes que este comentário teve. [0,05];</t>
  </si>
  <si>
    <t>No topo da tela, o nome da escola deve ser exibido conforme retorno na API [0,05];
A foto da escola deve ser exibida no formato de imagem conforme retorno obtido da API [0,10];
A avaliação da escola está exibida no formato "happyfaces", conforme retorno da API. O controle contem 5 rostos, indo do menos feliz (à esquerda) ao mais feliz (à direita), e uma barra colorida abaixo dividida em 5 seções: vermelho, laranja, amarelo, verde claro e verde escuro. A parte inteira do valor retornado pela API indica quanto da barra estará completamente à esquerda do indicador de progresso. Já a parte decimal representa a proporção de preenchimento na seção correspondente da barra. [0,25];
O controle para a exibição dos comentários de forma estruturada deve conter os comentários conforme retorno da API  do endpoint #05. Deve seguir a hierarquia de comentários e respostas, onde cada comentário pode conter respostas diretas, mas respostas não podem ter novas respostas (ou seja, não há encadeamento múltiplo). As respostas devem ser exibidas com um recuo à esquerda, em relação ao comentário principal, para deixar visualmente claro que se trata de respostas vinculadas ao comentário superior. [0,10];
O usuário deve conseguir realizar um comentário através do controle/conjunto de inserir comentário inserindo dados no endpoint [0,10];
O usuário deve conseguir realizar uma resposta a um comentario através da popup inserindo dados no endpoint [0,10];
Cada comentário e/ou resposta possui um número ao lado do indicador de like que demonstre a quantidade de likes que este comentário teve de acordo com o endpoint da API.[0,10];
Ao clicar no ícone de like, deve ser realizado uma requisição no endpoint #04 para registrar o like do usuário logado. [0,10];
O ícone de like deve ser apresentado na cor azul caso aquele comentário tenha um like do usuário logado. Nos demais casos, deve ser apresentado na cor preta (no formato outlier ou não). [0,10];
Existe um controle que permita o usuário ser direcionado a tela "Mapa" com seu ponto no mapa  destacado com a cor verde e com seu modal da página “Mapa” aberto com os dados da respectiva escola.  [0,20];</t>
  </si>
  <si>
    <t>Ao abrir esta tela, um controle de carregamento (Loading) [0,10];
A tela contém um botão de voltar [0,05];
A tela contém um mapa [0,10];
O mapa é carregado apresentando os indicadores/marcadores na cor vermelha [0,05];
O mapa contém um indicador azul [0,05];
Ao clicar no marcador, um modal é aberto [0,10];
Este modal deve conter controles para exibir o nome da escola, sua avaliação e sua distância [0,10];
Dentro do modal, devem existir controles para que a avaliação seja exibida no formato numérico [0,10];
Dentro do modal, devem existir controles que mostre a distância no formato numérico [0,05];
Dentro do modal, contem um botão para direcionar o usuário para a tela "Detalhes da escola" [0,10];
O modal tem um controle para fechar este modal [0,10];
Ainda dentro do modal, deve conter um botão “Ir Agora!” [0,10];</t>
  </si>
  <si>
    <t>O controle de carregamento (Loading) deve indicar o carregamento das informações do mapa e deve desaparecer ao término do carregamento [0,15];
O botão permite o retorno para a tela anterior, retornando exatamente para a página que abriu esta tela. [0,10];
O mapa foi apresentado centralizado nas coordenadas -15.738387121157935, -47.92534498704637 (Brasília) quando acessado pelo menu lateral [0,15];
No mapa são apresentados os indicadores/marcadores fornecidos pelo endpoint #04 [0,10];
No mapa existe um único indicador azul representando a localização atual do usuário no mapa [0,10];
Ao clicar no marcador, o modal aberto mostra os dados da escola conforme endpoint [0,10];
A avaliação deve ser exibida no formato numérico conforme retorno do endpoint, deve possuir apenas duas casas decimais, mesmo quando for um numero "redondo". [0,10];
A distância calculada representando a localização do usuário até a escola selecionada, quando menor que 1000m deve ser mostrada em metros, e caso maior, em quilômetros. [0,15];
O botão de "Detalhes da Escola" direciona para a tela de detalhes da escola com as devidas informações da escola selecionada [0,10];
O botão "Ir Agora!" direciona para a navegação do Google Maps com a rota configurada do ponto de localização atual (GPS) até a localização da escola selecionada [0,20];
O controle de fechar do modal fecha este elemento sem atualizar o mapa [0,05];</t>
  </si>
  <si>
    <t>A tela mapa é apresentada apenas no modo retrato [0,40];
As demais telas são apresentadas tanto no formato retrato quanto paisagem [0,40];</t>
  </si>
  <si>
    <t>1.Logo do aplicativo; [0,05]
2.Título “Recuperar Senha”; [0,05]
3.Input com placeholder “Digite seu CPF”; [0,05]
4.Botão com texto “Utilizar Biometria”; [0,05]
5.Dois inputs de senhas; [0,05]</t>
  </si>
  <si>
    <t>A imagem/ícone do Aprender+ foi inserido [0,10];
A mensagem de boas vindas foi inserida [0,05];
O botão de login com o texto "Entrar" está presente e visível [0,05];
O banner rotativo está presente [0,10];
O banner rotativo contém 3 imagens representando áreas diferentes (tecnologia, saúde e indústria) [0,10];
Existem os círculos indicando a imagem atual para o banner [0,10];
Existe uma navegação inferior com 4 ícones (Home, Cursos, Agenda e Perfil) [0,20];</t>
  </si>
  <si>
    <t>Tela Home: Qualidade visual geral da tela, considerando a integração e aplicação dos principais elementos de design: tipografia, paleta de cores, composição/layout, criatividade na solução visual e harmonia entre os elementos. A nota atribuída deve refletir o nível de acabamento, clareza da comunicação visual e adequação estética em relação aos padrões profissionais do mercado.</t>
  </si>
  <si>
    <t>A tela não foi apresentada, está incompleta ou contém apenas rascunhos/preenchimentos genéricos que não permitem ou que não são suficientes para análise de critérios visuais.</t>
  </si>
  <si>
    <t>A tela foi entregue, mas apresenta alguns problemas nos princípios de design: tipografia sem harmonia, cores em conflito, layout desorganizado ou falta de finalização. Está abaixo dos padrões aceitáveis pela indústria.</t>
  </si>
  <si>
    <t>Os elementos visuais estão aplicados de forma funcional, com legibilidade, criatividade e organização básicas. A tela está finalizada e atende ao padrão mínimo esperado pelo mercado, mas sem refinamento.</t>
  </si>
  <si>
    <t>Tela visualmente bem resolvida, com decisões conscientes de layout, tipografia e cor. Todos os elementos visuais estão integrados com sofisticação, clareza, criatividade e com aplicações extremamente profissionais. A tela supera expectativas e pode ser comparada ao que se espera de um designer experiente no mercado.</t>
  </si>
  <si>
    <t>Possui o logotipo do Aprender+ no topo da tela [0,05];
Possui a imagem ou banner temático [0,10];
Possui um botão/ícone para fechar a tela voltando para a tela home [0,05];
Possui os campos de texto "Usuário" e "Senha" [0,10];
Existem os botões "Login", "Registrar", "Esqueci minha senha" [0,15];
Possui o Checkbox "Manter-me conectado [0,05];
Possui texto "Ao continuar, você concorda com nossos termos de uso e política de privacidade" [0,20];</t>
  </si>
  <si>
    <t>Ao acionar o checkbox, ele alterna entre marcado e desmarcado [0,10];
Os campos de usuário e senha devem possuir simulação de dados individuais [0,10];
A simulação de dados para o campo senha deve ser apresentado no formato de asteríscos [0,05];
O botão “Login” redireciona à página de cursos apenas se a simulação de dados dos campos usuário e senha forem realizados [0,15];</t>
  </si>
  <si>
    <t>Tela Login: Qualidade visual geral da tela, considerando a integração e aplicação dos principais elementos de design: tipografia, paleta de cores, composição/layout, criatividade na solução visual e harmonia entre os elementos. A nota atribuída deve refletir o nível de acabamento, clareza da comunicação visual e adequação estética em relação aos padrões profissionais do mercado.</t>
  </si>
  <si>
    <t>Existe uma barra de busca [0,05];
A barra de busca possui um ícone de uma lupa [0,05];
Existe um menu lateral [0,05];
O menu lateral contem os filtros "Técnicos", "Aprendizagem Industrial", "Online" e "Gratuito" [0,20];
Existe uma lista contendo 5 cursos: “Aprendizagem Mecânica”, "Aprendizagem Elétrica”,“Técnico em Redes de computadores”,“Técnico em Automação” e “Design (online)” [0,25];
Cada item da lista possui "Imagem", "Título", "Botão favoritar" e "Adicionar à agenda" [0,10];
Cada item da lista possui ícones representativos para os itens do menu: "Botão favoritar" (estrela) e "Adicionar à agenda" (calendario) [0,10];
A página possui o título "Cursos Disponíveis" [0,05];
Possui uma barra inferior com os acessos idênticos aos da tela home [0,05];</t>
  </si>
  <si>
    <t>Os botões da página contém ícones além do texto [0,05]
Todos os ícones de “favoritar” devem alternar para marcado/desmarcado e deve possuir uma animação fade-in/fade-out nesta alternância [0,15];
Ao clicar no primeiro item da lista, com filtros aplicados ou não, o usuário é redirecionado para a página de "Detalhes do curso" [0,10]
Ao clicar no botão de filtro "Técnicos" devem haver uma simulação de alteração de cursos na lista apresentando apenas os cursos "Técnicos" [0,05];
Ao clicar no botão de filtro "Aprendizagem" devem haver uma simulação de alteração de cursos na lista apresentando apenas os cursos "Aprendizagem" [0,05];
Ao clicar no botão de filtro "Online" devem haver uma simulação de alteração de cursos na lista apresentando apenas os cursos "Online" [0,05];
Ao clicar no botão de filtro "Gratuito" deve ser mostrado um texto "Nenhum curso encontrado." no local da lista [0,05];
Ao clicar em um ícone de filtro já selecionado, deve retirar o filtro e todos os cursos devem ser mostrados novamente na lista [0,05];
Não deve ser possível aplicar mais de um filtro simultaneamente [0,05];</t>
  </si>
  <si>
    <t>Página de cursos: Qualidade visual geral da tela, considerando a integração e aplicação dos principais elementos de design: tipografia, paleta de cores, composição/layout, criatividade na solução visual e harmonia entre os elementos. A nota atribuída deve refletir o nível de acabamento, clareza da comunicação visual e adequação estética em relação aos padrões profissionais do mercado.</t>
  </si>
  <si>
    <t>Existe o título do curso na tela "Design (Online)" [0,05]
Existem dois botões no topo da tela: Voltar e Favoritar [0,10]
O dois ícones no topo da tela (Voltar e Favoritar) [0,10]
Existe um banner com 3 imagens e circulos indicadores [0,10]
Existe um controle de texto com a descrição do curso [0,10]
Existe a seção comentários [0,15]
Existe o campo para inserir um novo comentário [0,20]
Existe o botão enviar [0,10]</t>
  </si>
  <si>
    <t>Ao clicar nos circulos abaixo da imagem, a imagem deverá ser alternada conforme o circulo [0,10];
Ao clicar nos circulos abaixo da imagem deverá ser alternada a descrição do curso de acordo com as frases disponibilizadas (em prova e no media files) [0,10];
Ao clicar na imagem (banner) deve ser aplicado um zoom, onde o fundo da tela ficará com um backdrop (fundo em 50% como por exempo) e a imagem será exibida no centro da tela de forma ampliada [0,10];
Existe pelo menos 10 comentários [0,05];
O controle de inserir comentário deve ser fixo na parte inferior da tela, ou seja, mesmo “rolando” a tela, ele deve permanecer estático [0,10];
O controle de inserir comentário deve possuir simulação de entrada de dados [0,05];
O botão voltar leva para a tela anterior [0,10]</t>
  </si>
  <si>
    <t>Telas Detalhes do Curso: Qualidade visual geral da tela, considerando a integração e aplicação dos principais elementos de design: tipografia, paleta de cores, composição/layout, criatividade na solução visual e harmonia entre os elementos. A nota atribuída deve refletir o nível de acabamento, clareza da comunicação visual e adequação estética em relação aos padrões profissionais do mercado.</t>
  </si>
  <si>
    <t xml:space="preserve">Existe o título "Minha Agenda" [0,10]
Existe a indicação do mês atual [0,10]
Existe um controle que exiba um calendário com os dias visíveis [0,20];
Existe um indicador de dia da semana conforme wireframe e ele inicia no domingo [0,10];
O primeiro dia do mês é uma segunda feira [0,10];
Um dia do calendário deve estar visivelmente selecionado [0,10];
Existe o botão voltar [0,05]
Existe a navegação inferior com 4 itens conforme tela "Home" [0,05]
</t>
  </si>
  <si>
    <t>Ao clicar em um dia no calendário, abre um popup [0,05];
Caso seja clicado em um dia da semana (dias úteis), o título do modal deve ser “Cursos - Dias úteis” e seu conteúdo deve apresentar no formato de lista: “Mecânica”, “Elétrica”, “Redes de computadores”, “Automação” e “Design” [0,10];
Caso seja clicado em um dia de um final de semana (sábado e domingo) deve ser apresentado um modal com o título “Cursos - Fim de semana”, e seu conteúdo deve apresentar o texto: “Não existe nenhum curso disponível nesta data” [0,10];
Cada item da navegação está conectado com sua página correspondente [0,05]</t>
  </si>
  <si>
    <t>Tela calendário: Qualidade visual geral da tela, considerando a integração e aplicação dos principais elementos de design: tipografia, paleta de cores, composição/layout, criatividade na solução visual e harmonia entre os elementos. A nota atribuída deve refletir o nível de acabamento, clareza da comunicação visual e adequação estética em relação aos padrões profissionais do mercado.</t>
  </si>
  <si>
    <t xml:space="preserve">Existe a foto do usuário no formato arredondado [0,10];
Existe o nome do usuário [0,05];
Existem as abas de navegação: Favoritos e Comentários [0,10];
Ao clicar na aba "Favoritos" devem ser apresentados os favoritos [0,10];
Existe um controle do tipo lista para a aba Favoritos apresentando o nome do curso e foto, o nome e foto apresentados lado a lado [0,10];
Ao clicar na aba "Comentários" devem ser apresentados os comentários [0,10];
Existe um controle do tipo lista para a aba Comentários apresentando o título, imagem e data [0,10];
Em ambas as abas, existem elementos suficientes para simular o scroll vertical na tela [0,10];
Deve exisitr uma botão logout [0,10];
Existe a navegação inferiror com 4 itens conforme tela "Home" [0,05];
</t>
  </si>
  <si>
    <t>Cada item da navegação está conectado com sua página correspondente [0,05];
Ao clicar na imagem de perfil deve abrir um modal com controles para opção de tirar uma foto [0,20];
Na confirmação do modal, este modal deve ser fechado e deve realizar a simulação de mudança da foto de perfil na tela de Perfil [0,20];
O botão logout redireciona para a tela home [0,05];</t>
  </si>
  <si>
    <t>Tela de Perfil: Qualidade visual geral da tela, considerando a integração e aplicação dos principais elementos de design: tipografia, paleta de cores, composição/layout, criatividade na solução visual e harmonia entre os elementos. A nota atribuída deve refletir o nível de acabamento, clareza da comunicação visual e adequação estética em relação aos padrões profissionais do mercado.</t>
  </si>
  <si>
    <t>C1</t>
  </si>
  <si>
    <t>3</t>
  </si>
  <si>
    <t>Instruções para o competidor 1</t>
  </si>
  <si>
    <t>O projeto foi enviado pelo GIT fornecido no tempo proposto</t>
  </si>
  <si>
    <t>O projeto foi entregue no tempo proposto [0,2];
O projeto foi entregue com a estrutura proposta (nomenclatura / local correto) [0,2];</t>
  </si>
  <si>
    <t xml:space="preserve">Em nenhum momento, ao clicar em um objeto ou interagir com algum controle, os demais elementos devem ter suas posições alteradas (salvo se houver explicitamente esta solicitação). [0,20]
A paleta de cores obrigatória foi respeitada [0,20]
Todas as telas foram apresentadas apenas no formato retrato [0,20]
</t>
  </si>
  <si>
    <t xml:space="preserve">Testes </t>
  </si>
  <si>
    <t>3.Deverá conter na tela uma caixa de cards de cursos selecionados, esta caixa deverá ter um botão/ícone de lupa;[0,05]
4.Ao dar um Tap na lupa contida na caixa de cursos selecionados, deverá abrir o modal de múltipla seleção de cursos;[0,05]
5.A listagem dos cursos no modal deverá ser consumida do arquivo JSON;[0,1]
6.Deve ser possivel, marcar ou desmarcar um curso nesta lista do modal e ao fechar o mesmo a lista de cursos selecionados deve ser atualizada;[0,1]
7.Deverá conter na tela uma caixa de cards de professores selecionados, esta caixa deverá ter um botão/ícone de lupa;[0,05]
8.Ao dar um Tap na lupa contida na caixa de professores selecionados, deverá abrir o modal de múltipla seleção de professores; [0,05]
9.A listagem dos professores no modal deverá ser consumida do arquivo JSON;[0,1]
10.Deve ser possivel, marcar ou desmarcar um professor nesta lista do modal e ao fechar o mesmo a lista de professores selecionados deve ser atualizada;[0,1]
11.Botão “Gerar Relatório”;[0,05]
12.Caixa de texto múltiplas linhas para exibição do relatório – deverá receber informações somente de forma automática, após o clique no Botão “Gerar Relatório”, não sendo possível a inserção de informações manualmente ;[0,1]
13.Ao dar um tap no botão, “Gerar Relatório”, a caixa de texto múltiplas linhas para exibição do relatório, deverá receber as informações, vindas do arquivo JSON, de todos Cursos e Professores selecionados;[0,1]</t>
  </si>
  <si>
    <t>14.Deve haver na tela um Float Button Salvar, ao entrar na tela deve iniciar com status de desativado;[0,05]
15.Quando caixa de texto múltiplas linhas contendo a exibição do relatório, receber informações, o Float Button Salvar, deverá ser habilitado;[0,05]
16.Ao dar um tap no Float Button Salvar, deverá ser salvo um arquivo do tipo PDF, na pasta Downloads, contida no armazenamento interno do dispositivo;[0,10]
17.No Rodapé da tela deverá existir um NavigationBar com os itens (Contendo texto e ícone):
a)“Cursos”: Redirecionar para tela inicial;[0,05]
b)“Professores”: Redirecionar para tela de listagem de professores;[0,05]
c)“Relatórios”: Desativado. [0,05]</t>
  </si>
  <si>
    <t>Todas as etapas precisam ser mantidas por pelo menos 5 segundos e mensagens feedbak 5 segundos.</t>
  </si>
  <si>
    <t>1.O projeto foi entregue dentro do servidor no tempo proposto [0.40];
2.A nomenclatura do repositório está conforme prova: 08_Modulo_A1_XX; [0.15];
3.Existe o APK compilado na raiz do projeto [0,10];</t>
  </si>
  <si>
    <t>Botão entrar direciona à pagina de login [0,05];
O banner alterna [0,10];
O banner alterna a cada 2 segundos [0,10];
É possível ocultar e reexibir o menu inferior com uma animação de cima para baixo e de baixo para cima respectivamente [0,15];
Apenas quando oculto, o menu inferior deve apresentar um controle discreto que permita reexibir o menu. Este controle não deve ser exibido quando o menu estiver visível [0,05];
No menu inferior, o item correspondente a tela deverá estar desativado [0,05];
Cada item da navegação está conectado com sua página correspondente [0,20];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</si>
</sst>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color theme="1"/>
      <name val="Arial"/>
      <family val="2"/>
    </font>
    <font>
      <sz val="8"/>
      <name val="Arial"/>
      <family val="2"/>
    </font>
    <font>
      <sz val="10"/>
      <name val="Arial"/>
      <family val="2"/>
    </font>
    <font>
      <sz val="10"/>
      <color indexed="9"/>
      <name val="Arial"/>
      <family val="2"/>
    </font>
    <font>
      <sz val="16"/>
      <name val="Arial"/>
      <family val="2"/>
    </font>
    <font>
      <sz val="16"/>
      <color indexed="8"/>
      <name val="Arial"/>
      <family val="2"/>
    </font>
    <font>
      <sz val="10"/>
      <color rgb="FFFFFFFF"/>
      <name val="Arial"/>
      <family val="2"/>
    </font>
    <font>
      <sz val="18"/>
      <color indexed="9"/>
      <name val="Arial"/>
      <family val="2"/>
    </font>
    <font>
      <sz val="16"/>
      <color indexed="9"/>
      <name val="Arial"/>
      <family val="2"/>
    </font>
    <font>
      <sz val="10"/>
      <name val="Arial"/>
      <family val="2"/>
    </font>
    <font>
      <sz val="10"/>
      <color theme="1"/>
      <name val="Calibri"/>
      <family val="2"/>
    </font>
    <font>
      <sz val="10"/>
      <color rgb="FF000000"/>
      <name val="Arial"/>
      <family val="2"/>
    </font>
    <font>
      <sz val="10"/>
      <color theme="1"/>
      <name val="Arial"/>
      <family val="2"/>
    </font>
    <font>
      <sz val="10"/>
      <name val="Arial"/>
      <family val="2"/>
    </font>
  </fonts>
  <fills count="6">
    <fill>
      <patternFill patternType="none"/>
    </fill>
    <fill>
      <patternFill patternType="gray125"/>
    </fill>
    <fill>
      <patternFill patternType="solid">
        <fgColor indexed="55"/>
        <bgColor indexed="64"/>
      </patternFill>
    </fill>
    <fill>
      <patternFill patternType="solid">
        <fgColor rgb="FF969696"/>
        <bgColor rgb="FF000000"/>
      </patternFill>
    </fill>
    <fill>
      <patternFill patternType="none">
        <bgColor indexed="64"/>
      </patternFill>
    </fill>
    <fill>
      <patternFill patternType="solid">
        <fgColor theme="0"/>
        <bgColor indexed="64"/>
      </patternFill>
    </fill>
  </fills>
  <borders count="17">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auto="1"/>
      </left>
      <right style="medium">
        <color indexed="8"/>
      </right>
      <top/>
      <bottom/>
      <diagonal/>
    </border>
    <border>
      <left style="medium">
        <color indexed="8"/>
      </left>
      <right style="medium">
        <color indexed="8"/>
      </right>
      <top/>
      <bottom style="medium">
        <color indexed="8"/>
      </bottom>
      <diagonal/>
    </border>
    <border>
      <left/>
      <right style="medium">
        <color indexed="8"/>
      </right>
      <top/>
      <bottom/>
      <diagonal/>
    </border>
    <border>
      <left/>
      <right/>
      <top/>
      <bottom style="medium">
        <color indexed="8"/>
      </bottom>
      <diagonal/>
    </border>
    <border>
      <left/>
      <right style="medium">
        <color indexed="8"/>
      </right>
      <top/>
      <bottom style="medium">
        <color indexed="8"/>
      </bottom>
      <diagonal/>
    </border>
    <border>
      <left style="medium">
        <color rgb="FFD7D7D7"/>
      </left>
      <right style="medium">
        <color rgb="FFD7D7D7"/>
      </right>
      <top style="medium">
        <color rgb="FFD7D7D7"/>
      </top>
      <bottom style="medium">
        <color rgb="FFD7D7D7"/>
      </bottom>
      <diagonal/>
    </border>
    <border>
      <left/>
      <right style="medium">
        <color rgb="FFD7D7D7"/>
      </right>
      <top style="medium">
        <color rgb="FFD7D7D7"/>
      </top>
      <bottom style="medium">
        <color rgb="FFD7D7D7"/>
      </bottom>
      <diagonal/>
    </border>
    <border>
      <left style="medium">
        <color rgb="FFD7D7D7"/>
      </left>
      <right style="medium">
        <color rgb="FFD7D7D7"/>
      </right>
      <top/>
      <bottom style="medium">
        <color rgb="FFD7D7D7"/>
      </bottom>
      <diagonal/>
    </border>
    <border>
      <left/>
      <right style="medium">
        <color rgb="FFD7D7D7"/>
      </right>
      <top/>
      <bottom style="medium">
        <color rgb="FFD7D7D7"/>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2" fillId="4" borderId="0"/>
  </cellStyleXfs>
  <cellXfs count="91">
    <xf numFmtId="0" fontId="0" fillId="0" borderId="0" xfId="0"/>
    <xf numFmtId="0" fontId="2" fillId="0" borderId="0" xfId="0" applyFont="1" applyAlignment="1">
      <alignment horizontal="center" vertical="center"/>
    </xf>
    <xf numFmtId="2" fontId="0" fillId="0" borderId="0" xfId="0" applyNumberFormat="1"/>
    <xf numFmtId="0" fontId="3" fillId="2" borderId="1" xfId="0" applyFont="1" applyFill="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2" fontId="4" fillId="0" borderId="0" xfId="0" applyNumberFormat="1" applyFont="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3" fillId="2"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0" fillId="0" borderId="0" xfId="0"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2" fontId="9" fillId="0" borderId="7" xfId="0" applyNumberFormat="1" applyFont="1" applyBorder="1" applyAlignment="1">
      <alignment horizontal="center" vertical="center"/>
    </xf>
    <xf numFmtId="0" fontId="9" fillId="0" borderId="8" xfId="0" applyFont="1" applyBorder="1" applyAlignment="1">
      <alignment horizontal="left" vertical="center"/>
    </xf>
    <xf numFmtId="2" fontId="9" fillId="0" borderId="8" xfId="0" applyNumberFormat="1" applyFont="1" applyBorder="1" applyAlignment="1">
      <alignment horizontal="center" vertical="center"/>
    </xf>
    <xf numFmtId="0" fontId="9" fillId="0" borderId="10" xfId="0" applyFont="1" applyBorder="1" applyAlignment="1">
      <alignment horizontal="left" vertical="center"/>
    </xf>
    <xf numFmtId="0" fontId="2" fillId="0" borderId="8" xfId="0" applyFont="1" applyBorder="1" applyAlignment="1">
      <alignment horizontal="left" vertical="center"/>
    </xf>
    <xf numFmtId="2" fontId="9" fillId="0" borderId="6" xfId="0" applyNumberFormat="1" applyFont="1" applyBorder="1" applyAlignment="1">
      <alignment horizontal="center" vertical="center"/>
    </xf>
    <xf numFmtId="0" fontId="2" fillId="0" borderId="6" xfId="0" applyFont="1" applyBorder="1" applyAlignment="1">
      <alignment horizontal="center" vertical="center"/>
    </xf>
    <xf numFmtId="2" fontId="9" fillId="4" borderId="8" xfId="0" applyNumberFormat="1" applyFont="1" applyFill="1" applyBorder="1" applyAlignment="1">
      <alignment horizontal="center" vertical="center"/>
    </xf>
    <xf numFmtId="2" fontId="9" fillId="4" borderId="6" xfId="0" applyNumberFormat="1" applyFont="1" applyFill="1" applyBorder="1" applyAlignment="1">
      <alignment horizontal="center" vertical="center"/>
    </xf>
    <xf numFmtId="0" fontId="10" fillId="0" borderId="11" xfId="0" applyFont="1" applyBorder="1" applyAlignment="1">
      <alignment vertical="center" wrapText="1"/>
    </xf>
    <xf numFmtId="0" fontId="10" fillId="0" borderId="12" xfId="0" applyFont="1" applyBorder="1" applyAlignment="1">
      <alignment horizontal="center" vertical="center" wrapText="1"/>
    </xf>
    <xf numFmtId="0" fontId="10" fillId="0" borderId="13" xfId="0" applyFont="1" applyBorder="1" applyAlignment="1">
      <alignment vertical="center" wrapText="1"/>
    </xf>
    <xf numFmtId="0" fontId="10" fillId="0" borderId="14"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1" xfId="0" applyFont="1" applyBorder="1" applyAlignment="1">
      <alignment horizontal="center" vertical="center" wrapText="1"/>
    </xf>
    <xf numFmtId="0" fontId="0" fillId="5" borderId="0" xfId="0" applyFill="1"/>
    <xf numFmtId="0" fontId="6" fillId="5" borderId="0" xfId="0" applyFont="1" applyFill="1" applyAlignment="1">
      <alignment horizontal="center" vertical="center" wrapText="1"/>
    </xf>
    <xf numFmtId="0" fontId="9" fillId="5" borderId="8" xfId="0" applyFont="1" applyFill="1" applyBorder="1" applyAlignment="1">
      <alignment horizontal="left" vertical="center"/>
    </xf>
    <xf numFmtId="0" fontId="9" fillId="5" borderId="10" xfId="0" applyFont="1" applyFill="1" applyBorder="1" applyAlignment="1">
      <alignment horizontal="left" vertical="center"/>
    </xf>
    <xf numFmtId="2" fontId="2" fillId="0" borderId="15" xfId="0" applyNumberFormat="1" applyFont="1" applyBorder="1" applyAlignment="1">
      <alignment horizontal="center" vertical="center"/>
    </xf>
    <xf numFmtId="0" fontId="0" fillId="0" borderId="0" xfId="0" applyAlignment="1">
      <alignment vertical="center"/>
    </xf>
    <xf numFmtId="2" fontId="6" fillId="3" borderId="5" xfId="0" applyNumberFormat="1" applyFont="1" applyFill="1" applyBorder="1" applyAlignment="1">
      <alignment horizontal="center" vertical="center" wrapText="1"/>
    </xf>
    <xf numFmtId="2" fontId="3" fillId="2" borderId="5" xfId="0" applyNumberFormat="1"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2" fontId="9" fillId="0" borderId="10" xfId="0" applyNumberFormat="1" applyFont="1" applyBorder="1" applyAlignment="1">
      <alignment horizontal="left" vertical="center"/>
    </xf>
    <xf numFmtId="0" fontId="2" fillId="0" borderId="16" xfId="0" applyFont="1" applyBorder="1" applyAlignment="1">
      <alignment horizontal="left" vertical="center" wrapText="1"/>
    </xf>
    <xf numFmtId="0" fontId="2" fillId="0" borderId="16" xfId="0" applyFont="1" applyBorder="1" applyAlignment="1">
      <alignment horizontal="center" vertical="center"/>
    </xf>
    <xf numFmtId="0" fontId="2" fillId="0" borderId="16" xfId="0" applyFont="1" applyBorder="1" applyAlignment="1">
      <alignment horizontal="left" vertical="center"/>
    </xf>
    <xf numFmtId="2" fontId="2" fillId="0" borderId="16" xfId="0" applyNumberFormat="1" applyFont="1" applyBorder="1" applyAlignment="1">
      <alignment horizontal="left" vertical="center"/>
    </xf>
    <xf numFmtId="2" fontId="2" fillId="0" borderId="16" xfId="0" applyNumberFormat="1" applyFont="1" applyBorder="1" applyAlignment="1">
      <alignment horizontal="center" vertical="center"/>
    </xf>
    <xf numFmtId="0" fontId="0" fillId="0" borderId="16" xfId="0" applyBorder="1"/>
    <xf numFmtId="0" fontId="2" fillId="4" borderId="16" xfId="0" applyFont="1" applyFill="1" applyBorder="1" applyAlignment="1">
      <alignment horizontal="left" vertical="center" wrapText="1"/>
    </xf>
    <xf numFmtId="2" fontId="2" fillId="4" borderId="16" xfId="0" applyNumberFormat="1" applyFont="1" applyFill="1" applyBorder="1" applyAlignment="1">
      <alignment horizontal="center" vertical="center"/>
    </xf>
    <xf numFmtId="0" fontId="11" fillId="4" borderId="16" xfId="0" applyFont="1" applyFill="1" applyBorder="1" applyAlignment="1">
      <alignment horizontal="left" vertical="center" wrapText="1"/>
    </xf>
    <xf numFmtId="0" fontId="2" fillId="0" borderId="16" xfId="0" applyFont="1" applyBorder="1" applyAlignment="1">
      <alignment horizontal="center" vertical="center" wrapText="1"/>
    </xf>
    <xf numFmtId="2" fontId="2" fillId="0" borderId="16" xfId="0" applyNumberFormat="1" applyFont="1" applyBorder="1" applyAlignment="1">
      <alignment horizontal="center" vertical="center" wrapText="1"/>
    </xf>
    <xf numFmtId="0" fontId="0" fillId="4" borderId="16" xfId="0" applyFill="1" applyBorder="1" applyAlignment="1">
      <alignment wrapText="1"/>
    </xf>
    <xf numFmtId="0" fontId="2" fillId="4" borderId="16" xfId="0" applyFont="1" applyFill="1" applyBorder="1" applyAlignment="1">
      <alignment horizontal="left" vertical="center"/>
    </xf>
    <xf numFmtId="0" fontId="3" fillId="2" borderId="16" xfId="0" applyFont="1" applyFill="1" applyBorder="1" applyAlignment="1">
      <alignment horizontal="center" vertical="center" wrapText="1"/>
    </xf>
    <xf numFmtId="2" fontId="3" fillId="2" borderId="16" xfId="0" applyNumberFormat="1" applyFont="1" applyFill="1" applyBorder="1" applyAlignment="1">
      <alignment horizontal="center" vertical="center" wrapText="1"/>
    </xf>
    <xf numFmtId="0" fontId="13" fillId="4" borderId="16" xfId="1" applyFont="1" applyBorder="1" applyAlignment="1">
      <alignment horizontal="center" vertical="center"/>
    </xf>
    <xf numFmtId="0" fontId="2" fillId="4" borderId="16" xfId="1" applyFont="1" applyBorder="1" applyAlignment="1">
      <alignment horizontal="left" vertical="center"/>
    </xf>
    <xf numFmtId="0" fontId="13" fillId="4" borderId="16" xfId="1" applyFont="1" applyBorder="1" applyAlignment="1">
      <alignment horizontal="left" vertical="center"/>
    </xf>
    <xf numFmtId="2" fontId="13" fillId="4" borderId="16" xfId="1" applyNumberFormat="1" applyFont="1" applyBorder="1" applyAlignment="1">
      <alignment horizontal="left" vertical="center"/>
    </xf>
    <xf numFmtId="0" fontId="2" fillId="4" borderId="16" xfId="1" applyFont="1" applyBorder="1" applyAlignment="1">
      <alignment horizontal="left" vertical="center" wrapText="1"/>
    </xf>
    <xf numFmtId="2" fontId="13" fillId="4" borderId="16" xfId="1" applyNumberFormat="1" applyFont="1" applyBorder="1" applyAlignment="1">
      <alignment horizontal="center" vertical="center"/>
    </xf>
    <xf numFmtId="0" fontId="13" fillId="4" borderId="16" xfId="1" applyFont="1" applyBorder="1" applyAlignment="1">
      <alignment horizontal="left" vertical="center" wrapText="1"/>
    </xf>
    <xf numFmtId="0" fontId="2" fillId="0" borderId="16" xfId="0" applyFont="1" applyBorder="1" applyAlignment="1">
      <alignment horizontal="left" wrapText="1"/>
    </xf>
    <xf numFmtId="0" fontId="12" fillId="4" borderId="16" xfId="1" applyBorder="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9" fillId="0" borderId="8" xfId="0" applyFont="1" applyBorder="1" applyAlignment="1">
      <alignment horizontal="left" vertical="center"/>
    </xf>
    <xf numFmtId="0" fontId="0" fillId="0" borderId="0" xfId="0"/>
    <xf numFmtId="0" fontId="0" fillId="0" borderId="8" xfId="0" applyBorder="1"/>
    <xf numFmtId="0" fontId="2" fillId="0" borderId="8" xfId="0" applyFont="1" applyBorder="1" applyAlignment="1">
      <alignment horizontal="left"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9" fillId="0" borderId="10" xfId="0" applyFont="1" applyBorder="1" applyAlignment="1">
      <alignment horizontal="left" vertical="center"/>
    </xf>
    <xf numFmtId="0" fontId="0" fillId="0" borderId="9" xfId="0" applyBorder="1"/>
    <xf numFmtId="0" fontId="0" fillId="0" borderId="10" xfId="0" applyBorder="1"/>
    <xf numFmtId="0" fontId="0" fillId="4" borderId="8" xfId="0" applyFill="1" applyBorder="1"/>
    <xf numFmtId="0" fontId="0" fillId="4" borderId="9" xfId="0" applyFill="1" applyBorder="1"/>
    <xf numFmtId="0" fontId="0" fillId="4" borderId="10" xfId="0" applyFill="1" applyBorder="1"/>
    <xf numFmtId="2" fontId="0" fillId="0" borderId="0" xfId="0" applyNumberFormat="1" applyAlignment="1">
      <alignment horizontal="center"/>
    </xf>
    <xf numFmtId="0" fontId="0" fillId="0" borderId="0" xfId="0" applyAlignment="1">
      <alignment horizontal="center"/>
    </xf>
    <xf numFmtId="0" fontId="2" fillId="0" borderId="0" xfId="0" applyFont="1" applyAlignment="1">
      <alignment horizontal="center" vertical="center" wrapText="1"/>
    </xf>
    <xf numFmtId="0" fontId="2" fillId="0" borderId="16" xfId="0" applyFont="1" applyFill="1" applyBorder="1" applyAlignment="1">
      <alignment horizontal="left" vertical="center" wrapText="1"/>
    </xf>
  </cellXfs>
  <cellStyles count="2">
    <cellStyle name="Normal" xfId="0" builtinId="0" customBuiltin="1"/>
    <cellStyle name="Normal 2" xfId="1" xr:uid="{4401FDE3-FAE8-43AA-B539-38449EA6786D}"/>
  </cellStyles>
  <dxfs count="3">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1" defaultTableStyle="TableStyleMedium9" defaultPivotStyle="PivotStyleLight16">
    <tableStyle name="Invisible" pivot="0" table="0" count="0" xr9:uid="{C145639E-C0D6-4BC4-8594-8AC55041495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70"/>
  <sheetViews>
    <sheetView tabSelected="1" topLeftCell="B107" zoomScale="130" zoomScaleNormal="130" workbookViewId="0">
      <selection activeCell="G114" sqref="G114"/>
    </sheetView>
  </sheetViews>
  <sheetFormatPr defaultColWidth="8.88671875" defaultRowHeight="13.2" x14ac:dyDescent="0.25"/>
  <cols>
    <col min="1" max="1" width="7.6640625" customWidth="1"/>
    <col min="2" max="2" width="26.33203125" customWidth="1"/>
    <col min="3" max="3" width="7.88671875" customWidth="1"/>
    <col min="4" max="4" width="8.44140625" customWidth="1"/>
    <col min="5" max="5" width="58" bestFit="1" customWidth="1"/>
    <col min="6" max="6" width="8" customWidth="1"/>
    <col min="7" max="7" width="96.6640625" style="29" customWidth="1"/>
    <col min="8" max="8" width="15.44140625" customWidth="1"/>
    <col min="9" max="9" width="11.33203125" customWidth="1"/>
    <col min="10" max="10" width="11" customWidth="1"/>
    <col min="11" max="11" width="10.6640625" style="2" customWidth="1"/>
    <col min="12" max="12" width="18.44140625" customWidth="1"/>
    <col min="14" max="14" width="10.6640625" bestFit="1" customWidth="1"/>
  </cols>
  <sheetData>
    <row r="1" spans="1:17" ht="23.4" thickBot="1" x14ac:dyDescent="0.3">
      <c r="A1" s="69" t="s">
        <v>0</v>
      </c>
      <c r="B1" s="70"/>
      <c r="C1" s="70"/>
      <c r="D1" s="70"/>
      <c r="E1" s="70"/>
      <c r="F1" s="70"/>
      <c r="G1" s="70"/>
      <c r="H1" s="70"/>
      <c r="I1" s="70"/>
      <c r="J1" s="70"/>
      <c r="K1" s="71"/>
    </row>
    <row r="2" spans="1:17" ht="13.8" thickBot="1" x14ac:dyDescent="0.3">
      <c r="C2" s="1"/>
      <c r="E2" s="1"/>
      <c r="J2" s="1"/>
    </row>
    <row r="3" spans="1:17" ht="21" thickBot="1" x14ac:dyDescent="0.3">
      <c r="A3" s="66" t="s">
        <v>1</v>
      </c>
      <c r="B3" s="67"/>
      <c r="C3" s="67"/>
      <c r="D3" s="67"/>
      <c r="E3" s="67"/>
      <c r="F3" s="67"/>
      <c r="G3" s="67"/>
      <c r="H3" s="67"/>
      <c r="I3" s="67"/>
      <c r="J3" s="67"/>
      <c r="K3" s="68"/>
    </row>
    <row r="4" spans="1:17" ht="27" thickBot="1" x14ac:dyDescent="0.3">
      <c r="A4" s="9" t="s">
        <v>2</v>
      </c>
      <c r="B4" s="63" t="s">
        <v>3</v>
      </c>
      <c r="C4" s="64"/>
      <c r="D4" s="64"/>
      <c r="E4" s="64"/>
      <c r="F4" s="64"/>
      <c r="G4" s="64"/>
      <c r="H4" s="65"/>
      <c r="I4" s="10" t="s">
        <v>3</v>
      </c>
      <c r="J4" s="10" t="s">
        <v>4</v>
      </c>
      <c r="K4" s="35" t="s">
        <v>5</v>
      </c>
    </row>
    <row r="5" spans="1:17" x14ac:dyDescent="0.25">
      <c r="A5" s="12">
        <v>1</v>
      </c>
      <c r="B5" s="72" t="s">
        <v>6</v>
      </c>
      <c r="C5" s="73"/>
      <c r="D5" s="73"/>
      <c r="E5" s="73"/>
      <c r="F5" s="73"/>
      <c r="G5" s="73"/>
      <c r="H5" s="74"/>
      <c r="I5" s="16">
        <v>8</v>
      </c>
      <c r="J5" s="19">
        <f>SUMIF(I29:I269,A5,K29:K269)</f>
        <v>8</v>
      </c>
      <c r="K5" s="19">
        <f t="shared" ref="K5:K11" si="0">ABS(I5-J5)</f>
        <v>0</v>
      </c>
    </row>
    <row r="6" spans="1:17" x14ac:dyDescent="0.25">
      <c r="A6" s="12">
        <v>2</v>
      </c>
      <c r="B6" s="72" t="s">
        <v>7</v>
      </c>
      <c r="C6" s="73"/>
      <c r="D6" s="73"/>
      <c r="E6" s="73"/>
      <c r="F6" s="73"/>
      <c r="G6" s="73"/>
      <c r="H6" s="74"/>
      <c r="I6" s="21">
        <v>7</v>
      </c>
      <c r="J6" s="22">
        <f>SUMIF(I29:I269,A6,K29:K269)</f>
        <v>7</v>
      </c>
      <c r="K6" s="22">
        <f t="shared" si="0"/>
        <v>0</v>
      </c>
    </row>
    <row r="7" spans="1:17" x14ac:dyDescent="0.25">
      <c r="A7" s="12">
        <v>3</v>
      </c>
      <c r="B7" s="72" t="s">
        <v>8</v>
      </c>
      <c r="C7" s="73"/>
      <c r="D7" s="73"/>
      <c r="E7" s="73"/>
      <c r="F7" s="73"/>
      <c r="G7" s="73"/>
      <c r="H7" s="74"/>
      <c r="I7" s="21">
        <v>5</v>
      </c>
      <c r="J7" s="22">
        <f>SUMIF(I29:I269,A7,K29:K269)</f>
        <v>4.8499999999999996</v>
      </c>
      <c r="K7" s="22">
        <f t="shared" si="0"/>
        <v>0.15000000000000036</v>
      </c>
    </row>
    <row r="8" spans="1:17" x14ac:dyDescent="0.25">
      <c r="A8" s="12">
        <v>4</v>
      </c>
      <c r="B8" s="75" t="s">
        <v>9</v>
      </c>
      <c r="C8" s="73"/>
      <c r="D8" s="73"/>
      <c r="E8" s="73"/>
      <c r="F8" s="73"/>
      <c r="G8" s="73"/>
      <c r="H8" s="74"/>
      <c r="I8" s="21">
        <v>25</v>
      </c>
      <c r="J8" s="22">
        <f>SUMIF(I29:I269,A8,K29:K269)</f>
        <v>25.2</v>
      </c>
      <c r="K8" s="22">
        <f t="shared" si="0"/>
        <v>0.19999999999999929</v>
      </c>
    </row>
    <row r="9" spans="1:17" x14ac:dyDescent="0.25">
      <c r="A9" s="12">
        <v>5</v>
      </c>
      <c r="B9" s="72" t="s">
        <v>10</v>
      </c>
      <c r="C9" s="73"/>
      <c r="D9" s="73"/>
      <c r="E9" s="73"/>
      <c r="F9" s="73"/>
      <c r="G9" s="73"/>
      <c r="H9" s="74"/>
      <c r="I9" s="21">
        <v>15</v>
      </c>
      <c r="J9" s="22">
        <f>SUMIF(I29:I269,A9,K29:K269)</f>
        <v>14.05</v>
      </c>
      <c r="K9" s="22">
        <f t="shared" si="0"/>
        <v>0.94999999999999929</v>
      </c>
    </row>
    <row r="10" spans="1:17" x14ac:dyDescent="0.25">
      <c r="A10" s="12">
        <v>6</v>
      </c>
      <c r="B10" s="72" t="s">
        <v>11</v>
      </c>
      <c r="C10" s="73"/>
      <c r="D10" s="73"/>
      <c r="E10" s="73"/>
      <c r="F10" s="73"/>
      <c r="G10" s="73"/>
      <c r="H10" s="74"/>
      <c r="I10" s="21">
        <v>30</v>
      </c>
      <c r="J10" s="22">
        <f>SUMIF(I29:I270,A10,K29:K270)</f>
        <v>30.900000000000006</v>
      </c>
      <c r="K10" s="22">
        <f t="shared" ref="K10" si="1">ABS(I10-J10)</f>
        <v>0.90000000000000568</v>
      </c>
    </row>
    <row r="11" spans="1:17" ht="13.8" thickBot="1" x14ac:dyDescent="0.3">
      <c r="A11" s="13">
        <v>7</v>
      </c>
      <c r="B11" s="81" t="s">
        <v>12</v>
      </c>
      <c r="C11" s="82"/>
      <c r="D11" s="82"/>
      <c r="E11" s="82"/>
      <c r="F11" s="82"/>
      <c r="G11" s="82"/>
      <c r="H11" s="83"/>
      <c r="I11" s="14">
        <v>10</v>
      </c>
      <c r="J11" s="14">
        <f>SUMIF(I29:I269,A11,K29:K269)</f>
        <v>9.9999999999999964</v>
      </c>
      <c r="K11" s="14">
        <f t="shared" si="0"/>
        <v>3.5527136788005009E-15</v>
      </c>
      <c r="Q11" s="2"/>
    </row>
    <row r="12" spans="1:17" ht="13.8" thickBot="1" x14ac:dyDescent="0.3">
      <c r="C12" s="1"/>
      <c r="E12" s="1"/>
      <c r="I12" s="79" t="s">
        <v>13</v>
      </c>
      <c r="J12" s="80"/>
      <c r="K12" s="14">
        <f>SUM(K5:K11)</f>
        <v>2.2000000000000082</v>
      </c>
    </row>
    <row r="13" spans="1:17" x14ac:dyDescent="0.25">
      <c r="C13" s="1"/>
      <c r="E13" s="1"/>
      <c r="I13" s="11"/>
      <c r="J13" s="11"/>
    </row>
    <row r="14" spans="1:17" ht="13.8" thickBot="1" x14ac:dyDescent="0.3">
      <c r="C14" s="1"/>
      <c r="E14" s="1"/>
      <c r="I14" s="11"/>
      <c r="J14" s="1"/>
    </row>
    <row r="15" spans="1:17" ht="21" thickBot="1" x14ac:dyDescent="0.3">
      <c r="A15" s="66" t="s">
        <v>14</v>
      </c>
      <c r="B15" s="67"/>
      <c r="C15" s="67"/>
      <c r="D15" s="67"/>
      <c r="E15" s="67"/>
      <c r="F15" s="67"/>
      <c r="G15" s="67"/>
      <c r="H15" s="67"/>
      <c r="I15" s="67"/>
      <c r="J15" s="67"/>
      <c r="K15" s="68"/>
    </row>
    <row r="16" spans="1:17" ht="13.8" thickBot="1" x14ac:dyDescent="0.3">
      <c r="A16" s="9" t="s">
        <v>15</v>
      </c>
      <c r="B16" s="76" t="s">
        <v>16</v>
      </c>
      <c r="C16" s="77"/>
      <c r="D16" s="77"/>
      <c r="E16" s="77"/>
      <c r="F16" s="77"/>
      <c r="G16" s="77"/>
      <c r="H16" s="77"/>
      <c r="I16" s="77"/>
      <c r="J16" s="78"/>
      <c r="K16" s="36" t="s">
        <v>17</v>
      </c>
    </row>
    <row r="17" spans="1:16" x14ac:dyDescent="0.25">
      <c r="A17" s="12" t="s">
        <v>18</v>
      </c>
      <c r="B17" s="75" t="s">
        <v>21</v>
      </c>
      <c r="C17" s="73"/>
      <c r="D17" s="73"/>
      <c r="E17" s="73"/>
      <c r="F17" s="73"/>
      <c r="G17" s="73"/>
      <c r="H17" s="73"/>
      <c r="I17" s="73"/>
      <c r="J17" s="84"/>
      <c r="K17" s="16">
        <v>30</v>
      </c>
    </row>
    <row r="18" spans="1:16" x14ac:dyDescent="0.25">
      <c r="A18" s="12" t="s">
        <v>20</v>
      </c>
      <c r="B18" s="75" t="s">
        <v>19</v>
      </c>
      <c r="C18" s="73"/>
      <c r="D18" s="73"/>
      <c r="E18" s="73"/>
      <c r="F18" s="73"/>
      <c r="G18" s="73"/>
      <c r="H18" s="73"/>
      <c r="I18" s="73"/>
      <c r="J18" s="84"/>
      <c r="K18" s="16">
        <v>30</v>
      </c>
    </row>
    <row r="19" spans="1:16" x14ac:dyDescent="0.25">
      <c r="A19" s="12" t="s">
        <v>22</v>
      </c>
      <c r="B19" s="72" t="s">
        <v>23</v>
      </c>
      <c r="C19" s="73"/>
      <c r="D19" s="73"/>
      <c r="E19" s="73"/>
      <c r="F19" s="73"/>
      <c r="G19" s="73"/>
      <c r="H19" s="73"/>
      <c r="I19" s="73"/>
      <c r="J19" s="84"/>
      <c r="K19" s="16">
        <v>20</v>
      </c>
    </row>
    <row r="20" spans="1:16" x14ac:dyDescent="0.25">
      <c r="A20" s="12" t="s">
        <v>24</v>
      </c>
      <c r="B20" s="72" t="s">
        <v>25</v>
      </c>
      <c r="C20" s="73"/>
      <c r="D20" s="73"/>
      <c r="E20" s="73"/>
      <c r="F20" s="73"/>
      <c r="G20" s="73"/>
      <c r="H20" s="73"/>
      <c r="I20" s="73"/>
      <c r="J20" s="84"/>
      <c r="K20" s="16">
        <v>20</v>
      </c>
    </row>
    <row r="21" spans="1:16" x14ac:dyDescent="0.25">
      <c r="A21" s="12" t="s">
        <v>26</v>
      </c>
      <c r="B21" s="72"/>
      <c r="C21" s="73"/>
      <c r="D21" s="73"/>
      <c r="E21" s="73"/>
      <c r="F21" s="73"/>
      <c r="G21" s="73"/>
      <c r="H21" s="73"/>
      <c r="I21" s="73"/>
      <c r="J21" s="84"/>
      <c r="K21" s="16"/>
    </row>
    <row r="22" spans="1:16" x14ac:dyDescent="0.25">
      <c r="A22" s="12" t="s">
        <v>27</v>
      </c>
      <c r="B22" s="72"/>
      <c r="C22" s="73"/>
      <c r="D22" s="73"/>
      <c r="E22" s="73"/>
      <c r="F22" s="73"/>
      <c r="G22" s="73"/>
      <c r="H22" s="73"/>
      <c r="I22" s="73"/>
      <c r="J22" s="84"/>
      <c r="K22" s="16"/>
    </row>
    <row r="23" spans="1:16" x14ac:dyDescent="0.25">
      <c r="A23" s="12" t="s">
        <v>28</v>
      </c>
      <c r="B23" s="72"/>
      <c r="C23" s="73"/>
      <c r="D23" s="73"/>
      <c r="E23" s="73"/>
      <c r="F23" s="73"/>
      <c r="G23" s="73"/>
      <c r="H23" s="73"/>
      <c r="I23" s="73"/>
      <c r="J23" s="84"/>
      <c r="K23" s="16"/>
    </row>
    <row r="24" spans="1:16" x14ac:dyDescent="0.25">
      <c r="A24" s="12" t="s">
        <v>29</v>
      </c>
      <c r="B24" s="72"/>
      <c r="C24" s="73"/>
      <c r="D24" s="73"/>
      <c r="E24" s="73"/>
      <c r="F24" s="73"/>
      <c r="G24" s="73"/>
      <c r="H24" s="73"/>
      <c r="I24" s="73"/>
      <c r="J24" s="84"/>
      <c r="K24" s="16"/>
    </row>
    <row r="25" spans="1:16" x14ac:dyDescent="0.25">
      <c r="A25" s="13" t="s">
        <v>30</v>
      </c>
      <c r="B25" s="81"/>
      <c r="C25" s="85"/>
      <c r="D25" s="85"/>
      <c r="E25" s="85"/>
      <c r="F25" s="85"/>
      <c r="G25" s="85"/>
      <c r="H25" s="85"/>
      <c r="I25" s="85"/>
      <c r="J25" s="86"/>
      <c r="K25" s="14"/>
    </row>
    <row r="26" spans="1:16" x14ac:dyDescent="0.25">
      <c r="F26" s="7"/>
      <c r="G26" s="30"/>
      <c r="H26" s="8"/>
      <c r="I26" s="8"/>
      <c r="J26" s="2"/>
    </row>
    <row r="27" spans="1:16" ht="13.8" thickBot="1" x14ac:dyDescent="0.3">
      <c r="C27" s="2"/>
      <c r="H27" s="2"/>
      <c r="I27" s="2"/>
      <c r="J27" s="2"/>
    </row>
    <row r="28" spans="1:16" ht="66.599999999999994" thickBot="1" x14ac:dyDescent="0.3">
      <c r="A28" s="3" t="s">
        <v>31</v>
      </c>
      <c r="B28" s="3" t="s">
        <v>32</v>
      </c>
      <c r="C28" s="3" t="s">
        <v>33</v>
      </c>
      <c r="D28" s="3" t="s">
        <v>34</v>
      </c>
      <c r="E28" s="3" t="s">
        <v>35</v>
      </c>
      <c r="F28" s="3" t="s">
        <v>36</v>
      </c>
      <c r="G28" s="3" t="s">
        <v>37</v>
      </c>
      <c r="H28" s="3" t="s">
        <v>38</v>
      </c>
      <c r="I28" s="3" t="s">
        <v>39</v>
      </c>
      <c r="J28" s="3" t="s">
        <v>40</v>
      </c>
      <c r="K28" s="37" t="s">
        <v>41</v>
      </c>
      <c r="L28" s="4" t="s">
        <v>42</v>
      </c>
      <c r="M28" s="5" t="s">
        <v>43</v>
      </c>
      <c r="N28" s="6">
        <f>SUM(K29:K74)</f>
        <v>29.999999999999996</v>
      </c>
    </row>
    <row r="29" spans="1:16" x14ac:dyDescent="0.25">
      <c r="A29" s="40" t="s">
        <v>44</v>
      </c>
      <c r="B29" s="41" t="s">
        <v>279</v>
      </c>
      <c r="C29" s="40">
        <v>1</v>
      </c>
      <c r="D29" s="41"/>
      <c r="E29" s="41"/>
      <c r="F29" s="41"/>
      <c r="G29" s="41"/>
      <c r="H29" s="41"/>
      <c r="I29" s="41"/>
      <c r="J29" s="41"/>
      <c r="K29" s="42"/>
      <c r="M29" s="2"/>
      <c r="P29" s="34" t="str">
        <f>IF(K29&lt;&gt;"",IF(OR(K29&lt;0.2,K29&gt;2),"Verificar",""),"")</f>
        <v/>
      </c>
    </row>
    <row r="30" spans="1:16" ht="39.6" customHeight="1" x14ac:dyDescent="0.25">
      <c r="A30" s="40" t="s">
        <v>46</v>
      </c>
      <c r="B30" s="41" t="s">
        <v>46</v>
      </c>
      <c r="C30" s="40" t="s">
        <v>46</v>
      </c>
      <c r="D30" s="40" t="s">
        <v>47</v>
      </c>
      <c r="E30" s="41" t="s">
        <v>48</v>
      </c>
      <c r="F30" s="40" t="s">
        <v>46</v>
      </c>
      <c r="G30" s="39" t="s">
        <v>432</v>
      </c>
      <c r="H30" s="41" t="s">
        <v>46</v>
      </c>
      <c r="I30" s="40">
        <v>1</v>
      </c>
      <c r="J30" s="40"/>
      <c r="K30" s="43">
        <v>0.65</v>
      </c>
      <c r="L30" s="87"/>
      <c r="M30" s="2"/>
      <c r="P30" s="34" t="str">
        <f t="shared" ref="P30:P86" si="2">IF(K30&lt;&gt;"",IF(OR(K30&lt;0.2,K30&gt;2),"Verificar",""),"")</f>
        <v/>
      </c>
    </row>
    <row r="31" spans="1:16" ht="92.4" x14ac:dyDescent="0.25">
      <c r="A31" s="40"/>
      <c r="B31" s="41"/>
      <c r="C31" s="40"/>
      <c r="D31" s="40" t="s">
        <v>47</v>
      </c>
      <c r="E31" s="41" t="s">
        <v>57</v>
      </c>
      <c r="F31" s="40"/>
      <c r="G31" s="39" t="s">
        <v>343</v>
      </c>
      <c r="H31" s="41"/>
      <c r="I31" s="40">
        <v>1</v>
      </c>
      <c r="J31" s="40"/>
      <c r="K31" s="43">
        <v>0.6</v>
      </c>
      <c r="L31" s="87"/>
      <c r="M31" s="2"/>
      <c r="P31" s="34" t="str">
        <f t="shared" si="2"/>
        <v/>
      </c>
    </row>
    <row r="32" spans="1:16" ht="52.8" x14ac:dyDescent="0.25">
      <c r="A32" s="40"/>
      <c r="B32" s="41"/>
      <c r="C32" s="40"/>
      <c r="D32" s="40" t="s">
        <v>47</v>
      </c>
      <c r="E32" s="41" t="s">
        <v>76</v>
      </c>
      <c r="F32" s="40"/>
      <c r="G32" s="39" t="s">
        <v>380</v>
      </c>
      <c r="H32" s="41"/>
      <c r="I32" s="40">
        <v>1</v>
      </c>
      <c r="J32" s="40"/>
      <c r="K32" s="43">
        <v>0.45</v>
      </c>
      <c r="L32" s="87"/>
      <c r="M32" s="2"/>
      <c r="P32" s="34" t="str">
        <f t="shared" si="2"/>
        <v/>
      </c>
    </row>
    <row r="33" spans="1:16" ht="66" customHeight="1" x14ac:dyDescent="0.25">
      <c r="A33" s="40"/>
      <c r="B33" s="41"/>
      <c r="C33" s="40"/>
      <c r="D33" s="40" t="s">
        <v>47</v>
      </c>
      <c r="E33" s="41" t="s">
        <v>77</v>
      </c>
      <c r="F33" s="40"/>
      <c r="G33" s="39" t="s">
        <v>344</v>
      </c>
      <c r="H33" s="41"/>
      <c r="I33" s="40">
        <v>5</v>
      </c>
      <c r="J33" s="40"/>
      <c r="K33" s="43">
        <v>0.85</v>
      </c>
      <c r="L33" s="87"/>
      <c r="M33" s="2"/>
      <c r="P33" s="34" t="str">
        <f t="shared" si="2"/>
        <v/>
      </c>
    </row>
    <row r="34" spans="1:16" ht="46.2" customHeight="1" x14ac:dyDescent="0.25">
      <c r="A34" s="40"/>
      <c r="B34" s="41"/>
      <c r="C34" s="40"/>
      <c r="D34" s="40" t="s">
        <v>47</v>
      </c>
      <c r="E34" s="41" t="s">
        <v>78</v>
      </c>
      <c r="F34" s="40"/>
      <c r="G34" s="39" t="s">
        <v>79</v>
      </c>
      <c r="H34" s="41"/>
      <c r="I34" s="40">
        <v>5</v>
      </c>
      <c r="J34" s="40"/>
      <c r="K34" s="43">
        <v>0.45</v>
      </c>
      <c r="L34" s="87"/>
      <c r="M34" s="2"/>
      <c r="P34" s="34" t="str">
        <f t="shared" si="2"/>
        <v/>
      </c>
    </row>
    <row r="35" spans="1:16" ht="59.4" customHeight="1" x14ac:dyDescent="0.25">
      <c r="A35" s="40" t="s">
        <v>46</v>
      </c>
      <c r="B35" s="41" t="s">
        <v>46</v>
      </c>
      <c r="C35" s="40" t="s">
        <v>46</v>
      </c>
      <c r="D35" s="40" t="s">
        <v>47</v>
      </c>
      <c r="E35" s="41" t="s">
        <v>58</v>
      </c>
      <c r="F35" s="40"/>
      <c r="G35" s="39" t="s">
        <v>80</v>
      </c>
      <c r="H35" s="41" t="s">
        <v>46</v>
      </c>
      <c r="I35" s="40">
        <v>4</v>
      </c>
      <c r="J35" s="40"/>
      <c r="K35" s="43">
        <v>0.4</v>
      </c>
      <c r="L35" s="88"/>
      <c r="M35" s="2"/>
      <c r="P35" s="34" t="str">
        <f t="shared" si="2"/>
        <v/>
      </c>
    </row>
    <row r="36" spans="1:16" ht="97.95" customHeight="1" x14ac:dyDescent="0.25">
      <c r="A36" s="40" t="s">
        <v>46</v>
      </c>
      <c r="B36" s="41" t="s">
        <v>46</v>
      </c>
      <c r="C36" s="40" t="s">
        <v>46</v>
      </c>
      <c r="D36" s="40" t="s">
        <v>47</v>
      </c>
      <c r="E36" s="41" t="s">
        <v>59</v>
      </c>
      <c r="F36" s="40"/>
      <c r="G36" s="39" t="s">
        <v>81</v>
      </c>
      <c r="H36" s="41" t="s">
        <v>46</v>
      </c>
      <c r="I36" s="40">
        <v>6</v>
      </c>
      <c r="J36" s="40"/>
      <c r="K36" s="43">
        <v>0.6</v>
      </c>
      <c r="L36" s="88"/>
      <c r="M36" s="2"/>
      <c r="P36" s="34" t="str">
        <f t="shared" si="2"/>
        <v/>
      </c>
    </row>
    <row r="37" spans="1:16" ht="52.8" x14ac:dyDescent="0.25">
      <c r="A37" s="40"/>
      <c r="B37" s="41"/>
      <c r="C37" s="40"/>
      <c r="D37" s="40" t="s">
        <v>47</v>
      </c>
      <c r="E37" s="41" t="s">
        <v>60</v>
      </c>
      <c r="F37" s="40"/>
      <c r="G37" s="39" t="s">
        <v>327</v>
      </c>
      <c r="H37" s="41"/>
      <c r="I37" s="40">
        <v>6</v>
      </c>
      <c r="J37" s="40"/>
      <c r="K37" s="43">
        <v>0.2</v>
      </c>
      <c r="L37" s="87"/>
      <c r="M37" s="2"/>
      <c r="P37" s="34" t="str">
        <f t="shared" si="2"/>
        <v/>
      </c>
    </row>
    <row r="38" spans="1:16" ht="92.4" x14ac:dyDescent="0.25">
      <c r="A38" s="40"/>
      <c r="B38" s="41"/>
      <c r="C38" s="40"/>
      <c r="D38" s="40" t="s">
        <v>47</v>
      </c>
      <c r="E38" s="41" t="s">
        <v>61</v>
      </c>
      <c r="F38" s="40"/>
      <c r="G38" s="39" t="s">
        <v>328</v>
      </c>
      <c r="H38" s="41"/>
      <c r="I38" s="40">
        <v>4</v>
      </c>
      <c r="J38" s="40"/>
      <c r="K38" s="43">
        <v>0.35</v>
      </c>
      <c r="L38" s="87"/>
      <c r="M38" s="2"/>
      <c r="P38" s="34" t="str">
        <f t="shared" si="2"/>
        <v/>
      </c>
    </row>
    <row r="39" spans="1:16" ht="163.19999999999999" customHeight="1" x14ac:dyDescent="0.25">
      <c r="A39" s="40"/>
      <c r="B39" s="41"/>
      <c r="C39" s="40"/>
      <c r="D39" s="40" t="s">
        <v>47</v>
      </c>
      <c r="E39" s="41" t="s">
        <v>62</v>
      </c>
      <c r="F39" s="40"/>
      <c r="G39" s="39" t="s">
        <v>345</v>
      </c>
      <c r="H39" s="41"/>
      <c r="I39" s="40">
        <v>6</v>
      </c>
      <c r="J39" s="40"/>
      <c r="K39" s="43">
        <v>0.5</v>
      </c>
      <c r="L39" s="87"/>
      <c r="M39" s="2"/>
      <c r="P39" s="34" t="str">
        <f t="shared" si="2"/>
        <v/>
      </c>
    </row>
    <row r="40" spans="1:16" ht="102.6" customHeight="1" x14ac:dyDescent="0.25">
      <c r="A40" s="40"/>
      <c r="B40" s="41"/>
      <c r="C40" s="40"/>
      <c r="D40" s="40" t="s">
        <v>47</v>
      </c>
      <c r="E40" s="41" t="s">
        <v>63</v>
      </c>
      <c r="F40" s="40"/>
      <c r="G40" s="39" t="s">
        <v>329</v>
      </c>
      <c r="H40" s="41"/>
      <c r="I40" s="40">
        <v>4</v>
      </c>
      <c r="J40" s="40"/>
      <c r="K40" s="43">
        <v>0.35</v>
      </c>
      <c r="L40" s="87"/>
      <c r="M40" s="2"/>
      <c r="P40" s="34" t="str">
        <f t="shared" si="2"/>
        <v/>
      </c>
    </row>
    <row r="41" spans="1:16" ht="215.4" customHeight="1" x14ac:dyDescent="0.25">
      <c r="A41" s="40"/>
      <c r="B41" s="41"/>
      <c r="C41" s="40"/>
      <c r="D41" s="40" t="s">
        <v>47</v>
      </c>
      <c r="E41" s="41" t="s">
        <v>64</v>
      </c>
      <c r="F41" s="40"/>
      <c r="G41" s="39" t="s">
        <v>346</v>
      </c>
      <c r="H41" s="41"/>
      <c r="I41" s="40">
        <v>6</v>
      </c>
      <c r="J41" s="40"/>
      <c r="K41" s="43">
        <v>0.85</v>
      </c>
      <c r="L41" s="87"/>
      <c r="M41" s="2"/>
      <c r="P41" s="34" t="str">
        <f t="shared" si="2"/>
        <v/>
      </c>
    </row>
    <row r="42" spans="1:16" ht="105" customHeight="1" x14ac:dyDescent="0.25">
      <c r="A42" s="40"/>
      <c r="B42" s="41"/>
      <c r="C42" s="40"/>
      <c r="D42" s="40" t="s">
        <v>47</v>
      </c>
      <c r="E42" s="41" t="s">
        <v>65</v>
      </c>
      <c r="F42" s="40"/>
      <c r="G42" s="39" t="s">
        <v>330</v>
      </c>
      <c r="H42" s="41"/>
      <c r="I42" s="40">
        <v>4</v>
      </c>
      <c r="J42" s="40"/>
      <c r="K42" s="43">
        <v>0.45</v>
      </c>
      <c r="L42" s="87"/>
      <c r="M42" s="2"/>
      <c r="P42" s="34" t="str">
        <f t="shared" si="2"/>
        <v/>
      </c>
    </row>
    <row r="43" spans="1:16" ht="169.2" customHeight="1" x14ac:dyDescent="0.25">
      <c r="A43" s="40"/>
      <c r="B43" s="41"/>
      <c r="C43" s="40"/>
      <c r="D43" s="40" t="s">
        <v>47</v>
      </c>
      <c r="E43" s="41" t="s">
        <v>66</v>
      </c>
      <c r="F43" s="40"/>
      <c r="G43" s="39" t="s">
        <v>347</v>
      </c>
      <c r="H43" s="41"/>
      <c r="I43" s="40">
        <v>6</v>
      </c>
      <c r="J43" s="40"/>
      <c r="K43" s="43">
        <v>0.6</v>
      </c>
      <c r="L43" s="87"/>
      <c r="M43" s="2"/>
      <c r="P43" s="34" t="str">
        <f t="shared" si="2"/>
        <v/>
      </c>
    </row>
    <row r="44" spans="1:16" ht="135" customHeight="1" x14ac:dyDescent="0.25">
      <c r="A44" s="40"/>
      <c r="B44" s="41"/>
      <c r="C44" s="40"/>
      <c r="D44" s="40" t="s">
        <v>47</v>
      </c>
      <c r="E44" s="41" t="s">
        <v>67</v>
      </c>
      <c r="F44" s="40"/>
      <c r="G44" s="39" t="s">
        <v>82</v>
      </c>
      <c r="H44" s="41"/>
      <c r="I44" s="40">
        <v>5</v>
      </c>
      <c r="J44" s="40"/>
      <c r="K44" s="43">
        <v>0.8</v>
      </c>
      <c r="L44" s="87"/>
      <c r="M44" s="2"/>
      <c r="P44" s="34" t="str">
        <f t="shared" si="2"/>
        <v/>
      </c>
    </row>
    <row r="45" spans="1:16" ht="356.4" x14ac:dyDescent="0.25">
      <c r="A45" s="40"/>
      <c r="B45" s="41"/>
      <c r="C45" s="40"/>
      <c r="D45" s="40" t="s">
        <v>47</v>
      </c>
      <c r="E45" s="41" t="s">
        <v>68</v>
      </c>
      <c r="F45" s="40"/>
      <c r="G45" s="39" t="s">
        <v>348</v>
      </c>
      <c r="H45" s="40"/>
      <c r="I45" s="40">
        <v>6</v>
      </c>
      <c r="J45" s="40"/>
      <c r="K45" s="43">
        <v>1.95</v>
      </c>
      <c r="L45" s="88"/>
      <c r="M45" s="2"/>
      <c r="P45" s="34" t="str">
        <f t="shared" si="2"/>
        <v/>
      </c>
    </row>
    <row r="46" spans="1:16" ht="151.80000000000001" customHeight="1" x14ac:dyDescent="0.25">
      <c r="A46" s="40"/>
      <c r="B46" s="41"/>
      <c r="C46" s="40"/>
      <c r="D46" s="40" t="s">
        <v>47</v>
      </c>
      <c r="E46" s="41" t="s">
        <v>69</v>
      </c>
      <c r="F46" s="40"/>
      <c r="G46" s="39" t="s">
        <v>331</v>
      </c>
      <c r="H46" s="41"/>
      <c r="I46" s="40">
        <v>4</v>
      </c>
      <c r="J46" s="40"/>
      <c r="K46" s="43">
        <v>1</v>
      </c>
      <c r="L46" s="87"/>
      <c r="M46" s="2"/>
      <c r="P46" s="34" t="str">
        <f t="shared" si="2"/>
        <v/>
      </c>
    </row>
    <row r="47" spans="1:16" ht="409.6" x14ac:dyDescent="0.25">
      <c r="A47" s="40"/>
      <c r="B47" s="41"/>
      <c r="C47" s="40"/>
      <c r="D47" s="40" t="s">
        <v>47</v>
      </c>
      <c r="E47" s="41" t="s">
        <v>70</v>
      </c>
      <c r="F47" s="40"/>
      <c r="G47" s="39" t="s">
        <v>369</v>
      </c>
      <c r="H47" s="41"/>
      <c r="I47" s="40">
        <v>6</v>
      </c>
      <c r="J47" s="40"/>
      <c r="K47" s="43">
        <v>2</v>
      </c>
      <c r="L47" s="88"/>
      <c r="M47" s="2"/>
      <c r="P47" s="34" t="str">
        <f t="shared" si="2"/>
        <v/>
      </c>
    </row>
    <row r="48" spans="1:16" ht="123.6" customHeight="1" x14ac:dyDescent="0.25">
      <c r="A48" s="40" t="s">
        <v>46</v>
      </c>
      <c r="B48" s="41" t="s">
        <v>46</v>
      </c>
      <c r="C48" s="40" t="s">
        <v>46</v>
      </c>
      <c r="D48" s="40" t="s">
        <v>47</v>
      </c>
      <c r="E48" s="41" t="s">
        <v>83</v>
      </c>
      <c r="F48" s="40"/>
      <c r="G48" s="39" t="s">
        <v>370</v>
      </c>
      <c r="H48" s="41" t="s">
        <v>46</v>
      </c>
      <c r="I48" s="40">
        <v>5</v>
      </c>
      <c r="J48" s="40"/>
      <c r="K48" s="43">
        <v>0.2</v>
      </c>
      <c r="L48" s="87"/>
      <c r="M48" s="2"/>
      <c r="P48" s="34" t="str">
        <f t="shared" si="2"/>
        <v/>
      </c>
    </row>
    <row r="49" spans="1:16" ht="97.95" customHeight="1" x14ac:dyDescent="0.25">
      <c r="A49" s="40" t="s">
        <v>46</v>
      </c>
      <c r="B49" s="41" t="s">
        <v>46</v>
      </c>
      <c r="C49" s="40" t="s">
        <v>46</v>
      </c>
      <c r="D49" s="40" t="s">
        <v>47</v>
      </c>
      <c r="E49" s="41" t="s">
        <v>84</v>
      </c>
      <c r="F49" s="40"/>
      <c r="G49" s="39" t="s">
        <v>382</v>
      </c>
      <c r="H49" s="41" t="s">
        <v>46</v>
      </c>
      <c r="I49" s="40">
        <v>6</v>
      </c>
      <c r="J49" s="40"/>
      <c r="K49" s="43">
        <v>0.75</v>
      </c>
      <c r="L49" s="88"/>
      <c r="M49" s="2"/>
      <c r="P49" s="34" t="str">
        <f t="shared" si="2"/>
        <v/>
      </c>
    </row>
    <row r="50" spans="1:16" x14ac:dyDescent="0.25">
      <c r="A50" s="40" t="s">
        <v>46</v>
      </c>
      <c r="B50" s="41" t="s">
        <v>46</v>
      </c>
      <c r="C50" s="40" t="s">
        <v>46</v>
      </c>
      <c r="D50" s="40" t="s">
        <v>49</v>
      </c>
      <c r="E50" s="41" t="s">
        <v>71</v>
      </c>
      <c r="F50" s="40" t="s">
        <v>46</v>
      </c>
      <c r="G50" s="41" t="s">
        <v>46</v>
      </c>
      <c r="H50" s="41" t="s">
        <v>46</v>
      </c>
      <c r="I50" s="40">
        <v>2</v>
      </c>
      <c r="J50" s="40"/>
      <c r="K50" s="43">
        <v>1</v>
      </c>
      <c r="M50" s="2"/>
      <c r="P50" s="34" t="str">
        <f t="shared" si="2"/>
        <v/>
      </c>
    </row>
    <row r="51" spans="1:16" x14ac:dyDescent="0.25">
      <c r="A51" s="40" t="s">
        <v>46</v>
      </c>
      <c r="B51" s="41" t="s">
        <v>46</v>
      </c>
      <c r="C51" s="40" t="s">
        <v>46</v>
      </c>
      <c r="D51" s="40" t="s">
        <v>46</v>
      </c>
      <c r="E51" s="41" t="s">
        <v>46</v>
      </c>
      <c r="F51" s="40">
        <v>0</v>
      </c>
      <c r="G51" s="41" t="s">
        <v>72</v>
      </c>
      <c r="H51" s="41" t="s">
        <v>46</v>
      </c>
      <c r="I51" s="40"/>
      <c r="J51" s="40"/>
      <c r="K51" s="43"/>
      <c r="L51" s="2"/>
      <c r="M51" s="2"/>
      <c r="P51" s="34" t="str">
        <f t="shared" si="2"/>
        <v/>
      </c>
    </row>
    <row r="52" spans="1:16" x14ac:dyDescent="0.25">
      <c r="A52" s="40" t="s">
        <v>46</v>
      </c>
      <c r="B52" s="41" t="s">
        <v>46</v>
      </c>
      <c r="C52" s="40" t="s">
        <v>46</v>
      </c>
      <c r="D52" s="40" t="s">
        <v>46</v>
      </c>
      <c r="E52" s="41" t="s">
        <v>46</v>
      </c>
      <c r="F52" s="40">
        <v>1</v>
      </c>
      <c r="G52" s="41" t="s">
        <v>73</v>
      </c>
      <c r="H52" s="41" t="s">
        <v>46</v>
      </c>
      <c r="I52" s="40"/>
      <c r="J52" s="40"/>
      <c r="K52" s="43"/>
      <c r="M52" s="2"/>
      <c r="P52" s="34" t="str">
        <f t="shared" si="2"/>
        <v/>
      </c>
    </row>
    <row r="53" spans="1:16" x14ac:dyDescent="0.25">
      <c r="A53" s="40" t="s">
        <v>46</v>
      </c>
      <c r="B53" s="41" t="s">
        <v>46</v>
      </c>
      <c r="C53" s="40" t="s">
        <v>46</v>
      </c>
      <c r="D53" s="40" t="s">
        <v>46</v>
      </c>
      <c r="E53" s="41" t="s">
        <v>46</v>
      </c>
      <c r="F53" s="40">
        <v>2</v>
      </c>
      <c r="G53" s="41" t="s">
        <v>74</v>
      </c>
      <c r="H53" s="41" t="s">
        <v>46</v>
      </c>
      <c r="I53" s="40"/>
      <c r="J53" s="40"/>
      <c r="K53" s="43"/>
      <c r="M53" s="2"/>
      <c r="P53" s="34" t="str">
        <f t="shared" si="2"/>
        <v/>
      </c>
    </row>
    <row r="54" spans="1:16" x14ac:dyDescent="0.25">
      <c r="A54" s="40" t="s">
        <v>46</v>
      </c>
      <c r="B54" s="41" t="s">
        <v>46</v>
      </c>
      <c r="C54" s="40" t="s">
        <v>46</v>
      </c>
      <c r="D54" s="40" t="s">
        <v>46</v>
      </c>
      <c r="E54" s="41" t="s">
        <v>46</v>
      </c>
      <c r="F54" s="40">
        <v>3</v>
      </c>
      <c r="G54" s="41" t="s">
        <v>75</v>
      </c>
      <c r="H54" s="41" t="s">
        <v>46</v>
      </c>
      <c r="I54" s="40"/>
      <c r="J54" s="40"/>
      <c r="K54" s="43"/>
      <c r="M54" s="2"/>
      <c r="P54" s="34" t="str">
        <f t="shared" si="2"/>
        <v/>
      </c>
    </row>
    <row r="55" spans="1:16" x14ac:dyDescent="0.25">
      <c r="A55" s="20"/>
      <c r="B55" s="18"/>
      <c r="C55" s="20"/>
      <c r="D55" s="20"/>
      <c r="E55" s="18"/>
      <c r="F55" s="20"/>
      <c r="G55" s="18"/>
      <c r="H55" s="18"/>
      <c r="I55" s="20"/>
      <c r="J55" s="20"/>
      <c r="K55" s="33"/>
      <c r="M55" s="2"/>
      <c r="P55" s="34" t="str">
        <f t="shared" si="2"/>
        <v/>
      </c>
    </row>
    <row r="56" spans="1:16" ht="66" customHeight="1" x14ac:dyDescent="0.25">
      <c r="A56" s="40" t="s">
        <v>50</v>
      </c>
      <c r="B56" s="41" t="s">
        <v>280</v>
      </c>
      <c r="C56" s="40">
        <v>1</v>
      </c>
      <c r="D56" s="40"/>
      <c r="E56" s="41"/>
      <c r="F56" s="40"/>
      <c r="G56" s="41"/>
      <c r="H56" s="41"/>
      <c r="I56" s="40"/>
      <c r="J56" s="40"/>
      <c r="K56" s="43"/>
      <c r="L56" s="2"/>
      <c r="M56" s="2"/>
      <c r="P56" s="34" t="str">
        <f t="shared" si="2"/>
        <v/>
      </c>
    </row>
    <row r="57" spans="1:16" ht="120" customHeight="1" x14ac:dyDescent="0.25">
      <c r="A57" s="44"/>
      <c r="B57" s="44"/>
      <c r="C57" s="40"/>
      <c r="D57" s="40" t="s">
        <v>47</v>
      </c>
      <c r="E57" s="41" t="s">
        <v>281</v>
      </c>
      <c r="F57" s="41"/>
      <c r="G57" s="39" t="s">
        <v>383</v>
      </c>
      <c r="H57" s="40"/>
      <c r="I57" s="40">
        <v>1</v>
      </c>
      <c r="J57" s="40"/>
      <c r="K57" s="46">
        <v>0.8</v>
      </c>
      <c r="L57" s="2"/>
      <c r="M57" s="2"/>
      <c r="P57" s="34" t="str">
        <f t="shared" si="2"/>
        <v/>
      </c>
    </row>
    <row r="58" spans="1:16" ht="63" customHeight="1" x14ac:dyDescent="0.25">
      <c r="A58" s="40"/>
      <c r="B58" s="41"/>
      <c r="C58" s="40"/>
      <c r="D58" s="40" t="s">
        <v>47</v>
      </c>
      <c r="E58" s="41" t="s">
        <v>308</v>
      </c>
      <c r="F58" s="40"/>
      <c r="G58" s="45" t="s">
        <v>384</v>
      </c>
      <c r="H58" s="40"/>
      <c r="I58" s="40">
        <v>6</v>
      </c>
      <c r="J58" s="40"/>
      <c r="K58" s="43">
        <v>0.4</v>
      </c>
      <c r="L58" s="2"/>
      <c r="M58" s="2"/>
      <c r="P58" s="34" t="str">
        <f t="shared" si="2"/>
        <v/>
      </c>
    </row>
    <row r="59" spans="1:16" ht="81" customHeight="1" x14ac:dyDescent="0.25">
      <c r="A59" s="40"/>
      <c r="B59" s="41"/>
      <c r="C59" s="40"/>
      <c r="D59" s="40" t="s">
        <v>47</v>
      </c>
      <c r="E59" s="41" t="s">
        <v>309</v>
      </c>
      <c r="F59" s="40"/>
      <c r="G59" s="45" t="s">
        <v>385</v>
      </c>
      <c r="H59" s="40"/>
      <c r="I59" s="40">
        <v>1</v>
      </c>
      <c r="J59" s="40"/>
      <c r="K59" s="43">
        <v>0.25</v>
      </c>
      <c r="L59" s="2"/>
      <c r="M59" s="2"/>
      <c r="P59" s="34" t="str">
        <f t="shared" si="2"/>
        <v/>
      </c>
    </row>
    <row r="60" spans="1:16" ht="130.80000000000001" customHeight="1" x14ac:dyDescent="0.25">
      <c r="A60" s="40"/>
      <c r="B60" s="41"/>
      <c r="C60" s="40"/>
      <c r="D60" s="40" t="s">
        <v>47</v>
      </c>
      <c r="E60" s="41" t="s">
        <v>310</v>
      </c>
      <c r="F60" s="40"/>
      <c r="G60" s="45" t="s">
        <v>386</v>
      </c>
      <c r="H60" s="40"/>
      <c r="I60" s="40">
        <v>5</v>
      </c>
      <c r="J60" s="40"/>
      <c r="K60" s="43">
        <v>0.4</v>
      </c>
      <c r="L60" s="2"/>
      <c r="M60" s="2"/>
      <c r="P60" s="34" t="str">
        <f t="shared" si="2"/>
        <v/>
      </c>
    </row>
    <row r="61" spans="1:16" ht="180" customHeight="1" x14ac:dyDescent="0.25">
      <c r="A61" s="40"/>
      <c r="B61" s="41"/>
      <c r="C61" s="40"/>
      <c r="D61" s="40" t="s">
        <v>47</v>
      </c>
      <c r="E61" s="41" t="s">
        <v>313</v>
      </c>
      <c r="F61" s="40"/>
      <c r="G61" s="45" t="s">
        <v>387</v>
      </c>
      <c r="H61" s="40"/>
      <c r="I61" s="40">
        <v>6</v>
      </c>
      <c r="J61" s="40"/>
      <c r="K61" s="43">
        <v>1.3</v>
      </c>
      <c r="L61" s="2"/>
      <c r="M61" s="2"/>
      <c r="P61" s="34" t="str">
        <f t="shared" si="2"/>
        <v/>
      </c>
    </row>
    <row r="62" spans="1:16" ht="117.75" customHeight="1" x14ac:dyDescent="0.25">
      <c r="A62" s="40"/>
      <c r="B62" s="41"/>
      <c r="C62" s="40"/>
      <c r="D62" s="40" t="s">
        <v>47</v>
      </c>
      <c r="E62" s="41" t="s">
        <v>316</v>
      </c>
      <c r="F62" s="40"/>
      <c r="G62" s="45" t="s">
        <v>388</v>
      </c>
      <c r="H62" s="40"/>
      <c r="I62" s="40">
        <v>6</v>
      </c>
      <c r="J62" s="40"/>
      <c r="K62" s="43">
        <v>1.4</v>
      </c>
      <c r="L62" s="2"/>
      <c r="M62" s="2"/>
      <c r="P62" s="34" t="str">
        <f t="shared" si="2"/>
        <v/>
      </c>
    </row>
    <row r="63" spans="1:16" ht="129.75" customHeight="1" x14ac:dyDescent="0.25">
      <c r="A63" s="40"/>
      <c r="B63" s="41"/>
      <c r="C63" s="40"/>
      <c r="D63" s="40" t="s">
        <v>47</v>
      </c>
      <c r="E63" s="41" t="s">
        <v>318</v>
      </c>
      <c r="F63" s="40"/>
      <c r="G63" s="45" t="s">
        <v>389</v>
      </c>
      <c r="H63" s="40"/>
      <c r="I63" s="40">
        <v>6</v>
      </c>
      <c r="J63" s="40"/>
      <c r="K63" s="43">
        <v>0.9</v>
      </c>
      <c r="L63" s="2"/>
      <c r="M63" s="2"/>
      <c r="P63" s="34" t="str">
        <f t="shared" si="2"/>
        <v/>
      </c>
    </row>
    <row r="64" spans="1:16" ht="139.5" customHeight="1" x14ac:dyDescent="0.25">
      <c r="A64" s="40"/>
      <c r="B64" s="41"/>
      <c r="C64" s="40"/>
      <c r="D64" s="40" t="s">
        <v>47</v>
      </c>
      <c r="E64" s="41" t="s">
        <v>317</v>
      </c>
      <c r="F64" s="40"/>
      <c r="G64" s="45" t="s">
        <v>390</v>
      </c>
      <c r="H64" s="40"/>
      <c r="I64" s="40">
        <v>6</v>
      </c>
      <c r="J64" s="40"/>
      <c r="K64" s="43">
        <v>1.2</v>
      </c>
      <c r="L64" s="2"/>
      <c r="M64" s="2"/>
      <c r="P64" s="34" t="str">
        <f t="shared" si="2"/>
        <v/>
      </c>
    </row>
    <row r="65" spans="1:16" ht="56.25" customHeight="1" x14ac:dyDescent="0.25">
      <c r="A65" s="40"/>
      <c r="B65" s="41"/>
      <c r="C65" s="40"/>
      <c r="D65" s="40" t="s">
        <v>47</v>
      </c>
      <c r="E65" s="41" t="s">
        <v>312</v>
      </c>
      <c r="F65" s="40"/>
      <c r="G65" s="45" t="s">
        <v>391</v>
      </c>
      <c r="H65" s="40"/>
      <c r="I65" s="40">
        <v>4</v>
      </c>
      <c r="J65" s="40"/>
      <c r="K65" s="43">
        <v>0.8</v>
      </c>
      <c r="L65" s="2"/>
      <c r="M65" s="2"/>
      <c r="P65" s="34" t="str">
        <f t="shared" si="2"/>
        <v/>
      </c>
    </row>
    <row r="66" spans="1:16" ht="102.75" customHeight="1" x14ac:dyDescent="0.25">
      <c r="A66" s="40"/>
      <c r="B66" s="41"/>
      <c r="C66" s="40"/>
      <c r="D66" s="40" t="s">
        <v>47</v>
      </c>
      <c r="E66" s="41" t="s">
        <v>311</v>
      </c>
      <c r="F66" s="40"/>
      <c r="G66" s="45" t="s">
        <v>392</v>
      </c>
      <c r="H66" s="40"/>
      <c r="I66" s="40">
        <v>6</v>
      </c>
      <c r="J66" s="40"/>
      <c r="K66" s="43">
        <v>0.6</v>
      </c>
      <c r="L66" s="2"/>
      <c r="M66" s="2"/>
      <c r="P66" s="34" t="str">
        <f t="shared" si="2"/>
        <v/>
      </c>
    </row>
    <row r="67" spans="1:16" ht="92.25" customHeight="1" x14ac:dyDescent="0.25">
      <c r="A67" s="40"/>
      <c r="B67" s="41"/>
      <c r="C67" s="40"/>
      <c r="D67" s="40" t="s">
        <v>47</v>
      </c>
      <c r="E67" s="41" t="s">
        <v>325</v>
      </c>
      <c r="F67" s="40"/>
      <c r="G67" s="45" t="s">
        <v>393</v>
      </c>
      <c r="H67" s="40"/>
      <c r="I67" s="40">
        <v>4</v>
      </c>
      <c r="J67" s="40"/>
      <c r="K67" s="43">
        <v>0.4</v>
      </c>
      <c r="L67" s="2"/>
      <c r="M67" s="2"/>
      <c r="P67" s="34" t="str">
        <f t="shared" si="2"/>
        <v/>
      </c>
    </row>
    <row r="68" spans="1:16" ht="116.25" customHeight="1" x14ac:dyDescent="0.25">
      <c r="A68" s="40"/>
      <c r="B68" s="41"/>
      <c r="C68" s="40"/>
      <c r="D68" s="40" t="s">
        <v>47</v>
      </c>
      <c r="E68" s="41" t="s">
        <v>326</v>
      </c>
      <c r="F68" s="40"/>
      <c r="G68" s="45" t="s">
        <v>394</v>
      </c>
      <c r="H68" s="40"/>
      <c r="I68" s="40">
        <v>6</v>
      </c>
      <c r="J68" s="40"/>
      <c r="K68" s="43">
        <v>1</v>
      </c>
      <c r="L68" s="2"/>
      <c r="M68" s="2"/>
      <c r="P68" s="34" t="str">
        <f t="shared" si="2"/>
        <v/>
      </c>
    </row>
    <row r="69" spans="1:16" ht="155.25" customHeight="1" x14ac:dyDescent="0.25">
      <c r="A69" s="40"/>
      <c r="B69" s="41"/>
      <c r="C69" s="40"/>
      <c r="D69" s="40" t="s">
        <v>47</v>
      </c>
      <c r="E69" s="41" t="s">
        <v>314</v>
      </c>
      <c r="F69" s="40"/>
      <c r="G69" s="45" t="s">
        <v>395</v>
      </c>
      <c r="H69" s="40"/>
      <c r="I69" s="40">
        <v>4</v>
      </c>
      <c r="J69" s="40"/>
      <c r="K69" s="43">
        <v>0.55000000000000004</v>
      </c>
      <c r="L69" s="2"/>
      <c r="M69" s="2"/>
      <c r="P69" s="34" t="str">
        <f t="shared" si="2"/>
        <v/>
      </c>
    </row>
    <row r="70" spans="1:16" ht="161.25" customHeight="1" x14ac:dyDescent="0.25">
      <c r="A70" s="40"/>
      <c r="B70" s="41"/>
      <c r="C70" s="40"/>
      <c r="D70" s="40" t="s">
        <v>47</v>
      </c>
      <c r="E70" s="41" t="s">
        <v>315</v>
      </c>
      <c r="F70" s="40"/>
      <c r="G70" s="45" t="s">
        <v>396</v>
      </c>
      <c r="H70" s="40"/>
      <c r="I70" s="40">
        <v>6</v>
      </c>
      <c r="J70" s="40"/>
      <c r="K70" s="46">
        <v>1.2</v>
      </c>
      <c r="L70" s="2"/>
      <c r="M70" s="2"/>
      <c r="P70" s="34" t="str">
        <f t="shared" si="2"/>
        <v/>
      </c>
    </row>
    <row r="71" spans="1:16" ht="153" customHeight="1" x14ac:dyDescent="0.25">
      <c r="A71" s="40"/>
      <c r="B71" s="41"/>
      <c r="C71" s="40"/>
      <c r="D71" s="40" t="s">
        <v>47</v>
      </c>
      <c r="E71" s="41" t="s">
        <v>319</v>
      </c>
      <c r="F71" s="40"/>
      <c r="G71" s="47" t="s">
        <v>397</v>
      </c>
      <c r="H71" s="40"/>
      <c r="I71" s="40">
        <v>4</v>
      </c>
      <c r="J71" s="40"/>
      <c r="K71" s="43">
        <v>1</v>
      </c>
      <c r="L71" s="2"/>
      <c r="M71" s="2"/>
      <c r="P71" s="34" t="str">
        <f t="shared" si="2"/>
        <v/>
      </c>
    </row>
    <row r="72" spans="1:16" ht="39.75" customHeight="1" x14ac:dyDescent="0.25">
      <c r="A72" s="40"/>
      <c r="B72" s="41"/>
      <c r="C72" s="40"/>
      <c r="D72" s="40" t="s">
        <v>47</v>
      </c>
      <c r="E72" s="41" t="s">
        <v>320</v>
      </c>
      <c r="F72" s="40"/>
      <c r="G72" s="45" t="s">
        <v>398</v>
      </c>
      <c r="H72" s="40"/>
      <c r="I72" s="40">
        <v>5</v>
      </c>
      <c r="J72" s="40"/>
      <c r="K72" s="46">
        <v>1.3</v>
      </c>
      <c r="L72" s="2"/>
      <c r="M72" s="2"/>
      <c r="P72" s="34" t="str">
        <f t="shared" si="2"/>
        <v/>
      </c>
    </row>
    <row r="73" spans="1:16" ht="64.5" customHeight="1" x14ac:dyDescent="0.25">
      <c r="A73" s="40"/>
      <c r="B73" s="41"/>
      <c r="C73" s="40"/>
      <c r="D73" s="40" t="s">
        <v>47</v>
      </c>
      <c r="E73" s="41" t="s">
        <v>321</v>
      </c>
      <c r="F73" s="40"/>
      <c r="G73" s="45" t="s">
        <v>399</v>
      </c>
      <c r="H73" s="40"/>
      <c r="I73" s="40">
        <v>5</v>
      </c>
      <c r="J73" s="40"/>
      <c r="K73" s="43">
        <v>0.8</v>
      </c>
      <c r="L73" s="2"/>
      <c r="M73" s="2"/>
      <c r="P73" s="34" t="str">
        <f t="shared" si="2"/>
        <v/>
      </c>
    </row>
    <row r="74" spans="1:16" ht="27" thickBot="1" x14ac:dyDescent="0.3">
      <c r="A74" s="40"/>
      <c r="B74" s="41"/>
      <c r="C74" s="40"/>
      <c r="D74" s="40" t="s">
        <v>47</v>
      </c>
      <c r="E74" s="41" t="s">
        <v>322</v>
      </c>
      <c r="F74" s="40"/>
      <c r="G74" s="45" t="s">
        <v>323</v>
      </c>
      <c r="H74" s="40"/>
      <c r="I74" s="40">
        <v>6</v>
      </c>
      <c r="J74" s="40"/>
      <c r="K74" s="43">
        <v>0.7</v>
      </c>
      <c r="L74" s="2"/>
      <c r="M74" s="2"/>
      <c r="P74" s="34" t="str">
        <f t="shared" si="2"/>
        <v/>
      </c>
    </row>
    <row r="75" spans="1:16" ht="66.599999999999994" thickBot="1" x14ac:dyDescent="0.3">
      <c r="A75" s="3" t="s">
        <v>31</v>
      </c>
      <c r="B75" s="3" t="s">
        <v>32</v>
      </c>
      <c r="C75" s="3" t="s">
        <v>33</v>
      </c>
      <c r="D75" s="3" t="s">
        <v>34</v>
      </c>
      <c r="E75" s="3" t="s">
        <v>35</v>
      </c>
      <c r="F75" s="3" t="s">
        <v>36</v>
      </c>
      <c r="G75" s="3" t="s">
        <v>37</v>
      </c>
      <c r="H75" s="3" t="s">
        <v>38</v>
      </c>
      <c r="I75" s="3" t="s">
        <v>39</v>
      </c>
      <c r="J75" s="3" t="s">
        <v>40</v>
      </c>
      <c r="K75" s="37" t="s">
        <v>41</v>
      </c>
      <c r="L75" s="4" t="s">
        <v>51</v>
      </c>
      <c r="M75" s="5" t="s">
        <v>43</v>
      </c>
      <c r="N75" s="6">
        <f>SUM(K76:K163)</f>
        <v>30</v>
      </c>
      <c r="P75" s="34"/>
    </row>
    <row r="76" spans="1:16" x14ac:dyDescent="0.25">
      <c r="A76" s="40" t="s">
        <v>52</v>
      </c>
      <c r="B76" s="41" t="s">
        <v>45</v>
      </c>
      <c r="C76" s="40">
        <v>2</v>
      </c>
      <c r="D76" s="41" t="s">
        <v>46</v>
      </c>
      <c r="E76" s="41" t="s">
        <v>46</v>
      </c>
      <c r="F76" s="41" t="s">
        <v>46</v>
      </c>
      <c r="G76" s="41" t="s">
        <v>46</v>
      </c>
      <c r="H76" s="41" t="s">
        <v>46</v>
      </c>
      <c r="I76" s="41" t="s">
        <v>46</v>
      </c>
      <c r="J76" s="41" t="s">
        <v>46</v>
      </c>
      <c r="K76" s="42" t="s">
        <v>46</v>
      </c>
      <c r="P76" s="34" t="str">
        <f t="shared" si="2"/>
        <v/>
      </c>
    </row>
    <row r="77" spans="1:16" ht="39.6" x14ac:dyDescent="0.25">
      <c r="A77" s="40" t="s">
        <v>46</v>
      </c>
      <c r="B77" s="41" t="s">
        <v>46</v>
      </c>
      <c r="C77" s="40" t="s">
        <v>46</v>
      </c>
      <c r="D77" s="40" t="s">
        <v>47</v>
      </c>
      <c r="E77" s="41" t="s">
        <v>333</v>
      </c>
      <c r="F77" s="40" t="s">
        <v>46</v>
      </c>
      <c r="G77" s="39" t="s">
        <v>334</v>
      </c>
      <c r="H77" s="41" t="s">
        <v>46</v>
      </c>
      <c r="I77" s="40">
        <v>1</v>
      </c>
      <c r="J77" s="40"/>
      <c r="K77" s="43">
        <v>0.7</v>
      </c>
      <c r="L77" s="2"/>
      <c r="M77" s="2"/>
      <c r="P77" s="34" t="str">
        <f t="shared" si="2"/>
        <v/>
      </c>
    </row>
    <row r="78" spans="1:16" x14ac:dyDescent="0.25">
      <c r="A78" s="40" t="s">
        <v>46</v>
      </c>
      <c r="B78" s="41" t="s">
        <v>46</v>
      </c>
      <c r="C78" s="40" t="s">
        <v>46</v>
      </c>
      <c r="D78" s="40" t="s">
        <v>47</v>
      </c>
      <c r="E78" s="41" t="s">
        <v>85</v>
      </c>
      <c r="F78" s="40" t="s">
        <v>46</v>
      </c>
      <c r="G78" s="41" t="s">
        <v>86</v>
      </c>
      <c r="H78" s="41" t="s">
        <v>46</v>
      </c>
      <c r="I78" s="40">
        <v>1</v>
      </c>
      <c r="J78" s="40"/>
      <c r="K78" s="43">
        <v>0.5</v>
      </c>
      <c r="M78" s="2"/>
      <c r="P78" s="34" t="str">
        <f t="shared" si="2"/>
        <v/>
      </c>
    </row>
    <row r="79" spans="1:16" ht="52.8" x14ac:dyDescent="0.25">
      <c r="A79" s="40" t="s">
        <v>46</v>
      </c>
      <c r="B79" s="41" t="s">
        <v>46</v>
      </c>
      <c r="C79" s="40" t="s">
        <v>46</v>
      </c>
      <c r="D79" s="40" t="s">
        <v>47</v>
      </c>
      <c r="E79" s="41" t="s">
        <v>87</v>
      </c>
      <c r="F79" s="40" t="s">
        <v>46</v>
      </c>
      <c r="G79" s="39" t="s">
        <v>88</v>
      </c>
      <c r="H79" s="41" t="s">
        <v>46</v>
      </c>
      <c r="I79" s="40">
        <v>4</v>
      </c>
      <c r="J79" s="40"/>
      <c r="K79" s="43">
        <v>0.4</v>
      </c>
      <c r="M79" s="2"/>
      <c r="P79" s="34" t="str">
        <f t="shared" si="2"/>
        <v/>
      </c>
    </row>
    <row r="80" spans="1:16" x14ac:dyDescent="0.25">
      <c r="A80" s="40"/>
      <c r="B80" s="41"/>
      <c r="C80" s="40"/>
      <c r="D80" s="40" t="s">
        <v>47</v>
      </c>
      <c r="E80" s="41" t="s">
        <v>89</v>
      </c>
      <c r="F80" s="40"/>
      <c r="G80" s="41" t="s">
        <v>90</v>
      </c>
      <c r="H80" s="41"/>
      <c r="I80" s="40">
        <v>4</v>
      </c>
      <c r="J80" s="40"/>
      <c r="K80" s="43">
        <v>0.2</v>
      </c>
      <c r="M80" s="2"/>
      <c r="P80" s="34" t="str">
        <f t="shared" si="2"/>
        <v/>
      </c>
    </row>
    <row r="81" spans="1:16" ht="118.8" x14ac:dyDescent="0.25">
      <c r="A81" s="40"/>
      <c r="B81" s="41"/>
      <c r="C81" s="40"/>
      <c r="D81" s="40" t="s">
        <v>47</v>
      </c>
      <c r="E81" s="41" t="s">
        <v>91</v>
      </c>
      <c r="F81" s="40"/>
      <c r="G81" s="39" t="s">
        <v>335</v>
      </c>
      <c r="H81" s="41"/>
      <c r="I81" s="40">
        <v>4</v>
      </c>
      <c r="J81" s="40"/>
      <c r="K81" s="43">
        <v>0.8</v>
      </c>
      <c r="M81" s="2"/>
      <c r="P81" s="34" t="str">
        <f t="shared" si="2"/>
        <v/>
      </c>
    </row>
    <row r="82" spans="1:16" ht="118.8" x14ac:dyDescent="0.25">
      <c r="A82" s="40"/>
      <c r="B82" s="41"/>
      <c r="C82" s="40"/>
      <c r="D82" s="40" t="s">
        <v>47</v>
      </c>
      <c r="E82" s="41" t="s">
        <v>92</v>
      </c>
      <c r="F82" s="40"/>
      <c r="G82" s="39" t="s">
        <v>93</v>
      </c>
      <c r="H82" s="41"/>
      <c r="I82" s="40">
        <v>4</v>
      </c>
      <c r="J82" s="40"/>
      <c r="K82" s="43">
        <v>0.7</v>
      </c>
      <c r="M82" s="2"/>
      <c r="P82" s="34" t="str">
        <f t="shared" si="2"/>
        <v/>
      </c>
    </row>
    <row r="83" spans="1:16" ht="184.8" x14ac:dyDescent="0.25">
      <c r="A83" s="40"/>
      <c r="B83" s="41"/>
      <c r="C83" s="40"/>
      <c r="D83" s="40" t="s">
        <v>47</v>
      </c>
      <c r="E83" s="41" t="s">
        <v>94</v>
      </c>
      <c r="F83" s="40"/>
      <c r="G83" s="39" t="s">
        <v>371</v>
      </c>
      <c r="H83" s="41"/>
      <c r="I83" s="40">
        <v>4</v>
      </c>
      <c r="J83" s="40"/>
      <c r="K83" s="43">
        <v>1.1000000000000001</v>
      </c>
      <c r="M83" s="2"/>
      <c r="P83" s="34" t="str">
        <f t="shared" si="2"/>
        <v/>
      </c>
    </row>
    <row r="84" spans="1:16" ht="105.6" x14ac:dyDescent="0.25">
      <c r="A84" s="40" t="s">
        <v>46</v>
      </c>
      <c r="B84" s="41" t="s">
        <v>46</v>
      </c>
      <c r="C84" s="40" t="s">
        <v>46</v>
      </c>
      <c r="D84" s="40" t="s">
        <v>47</v>
      </c>
      <c r="E84" s="41" t="s">
        <v>95</v>
      </c>
      <c r="F84" s="40" t="s">
        <v>46</v>
      </c>
      <c r="G84" s="39" t="s">
        <v>96</v>
      </c>
      <c r="H84" s="41"/>
      <c r="I84" s="40">
        <v>4</v>
      </c>
      <c r="J84" s="40"/>
      <c r="K84" s="43">
        <v>0.4</v>
      </c>
      <c r="M84" s="2"/>
      <c r="P84" s="34" t="str">
        <f t="shared" si="2"/>
        <v/>
      </c>
    </row>
    <row r="85" spans="1:16" ht="158.4" x14ac:dyDescent="0.25">
      <c r="A85" s="40" t="s">
        <v>46</v>
      </c>
      <c r="B85" s="41" t="s">
        <v>46</v>
      </c>
      <c r="C85" s="40" t="s">
        <v>46</v>
      </c>
      <c r="D85" s="40" t="s">
        <v>47</v>
      </c>
      <c r="E85" s="41" t="s">
        <v>97</v>
      </c>
      <c r="F85" s="40" t="s">
        <v>46</v>
      </c>
      <c r="G85" s="39" t="s">
        <v>98</v>
      </c>
      <c r="H85" s="41" t="s">
        <v>46</v>
      </c>
      <c r="I85" s="40">
        <v>4</v>
      </c>
      <c r="J85" s="40"/>
      <c r="K85" s="43">
        <v>0.6</v>
      </c>
      <c r="M85" s="2"/>
      <c r="P85" s="34" t="str">
        <f t="shared" si="2"/>
        <v/>
      </c>
    </row>
    <row r="86" spans="1:16" ht="132" customHeight="1" x14ac:dyDescent="0.25">
      <c r="A86" s="40" t="s">
        <v>46</v>
      </c>
      <c r="B86" s="41" t="s">
        <v>46</v>
      </c>
      <c r="C86" s="40" t="s">
        <v>46</v>
      </c>
      <c r="D86" s="40" t="s">
        <v>47</v>
      </c>
      <c r="E86" s="41" t="s">
        <v>99</v>
      </c>
      <c r="F86" s="40" t="s">
        <v>46</v>
      </c>
      <c r="G86" s="39" t="s">
        <v>100</v>
      </c>
      <c r="H86" s="41" t="s">
        <v>46</v>
      </c>
      <c r="I86" s="40">
        <v>4</v>
      </c>
      <c r="J86" s="40"/>
      <c r="K86" s="43">
        <v>0.5</v>
      </c>
      <c r="M86" s="2"/>
      <c r="P86" s="34" t="str">
        <f t="shared" si="2"/>
        <v/>
      </c>
    </row>
    <row r="87" spans="1:16" ht="363" customHeight="1" x14ac:dyDescent="0.25">
      <c r="A87" s="40" t="s">
        <v>46</v>
      </c>
      <c r="B87" s="41" t="s">
        <v>46</v>
      </c>
      <c r="C87" s="40" t="s">
        <v>46</v>
      </c>
      <c r="D87" s="40" t="s">
        <v>47</v>
      </c>
      <c r="E87" s="41" t="s">
        <v>101</v>
      </c>
      <c r="F87" s="40" t="s">
        <v>46</v>
      </c>
      <c r="G87" s="39" t="s">
        <v>102</v>
      </c>
      <c r="H87" s="41" t="s">
        <v>46</v>
      </c>
      <c r="I87" s="40">
        <v>4</v>
      </c>
      <c r="J87" s="40"/>
      <c r="K87" s="43">
        <v>0.9</v>
      </c>
      <c r="M87" s="2"/>
      <c r="P87" s="34" t="str">
        <f t="shared" ref="P87:P148" si="3">IF(K87&lt;&gt;"",IF(OR(K87&lt;0.2,K87&gt;2),"Verificar",""),"")</f>
        <v/>
      </c>
    </row>
    <row r="88" spans="1:16" ht="118.8" x14ac:dyDescent="0.25">
      <c r="A88" s="40" t="s">
        <v>46</v>
      </c>
      <c r="B88" s="41" t="s">
        <v>46</v>
      </c>
      <c r="C88" s="40" t="s">
        <v>46</v>
      </c>
      <c r="D88" s="48" t="s">
        <v>47</v>
      </c>
      <c r="E88" s="39" t="s">
        <v>103</v>
      </c>
      <c r="F88" s="39" t="s">
        <v>46</v>
      </c>
      <c r="G88" s="39" t="s">
        <v>104</v>
      </c>
      <c r="H88" s="39" t="s">
        <v>46</v>
      </c>
      <c r="I88" s="48">
        <v>4</v>
      </c>
      <c r="J88" s="39"/>
      <c r="K88" s="49">
        <v>0.5</v>
      </c>
      <c r="M88" s="2"/>
      <c r="P88" s="34" t="str">
        <f t="shared" si="3"/>
        <v/>
      </c>
    </row>
    <row r="89" spans="1:16" ht="79.2" x14ac:dyDescent="0.25">
      <c r="A89" s="40" t="s">
        <v>46</v>
      </c>
      <c r="B89" s="41" t="s">
        <v>46</v>
      </c>
      <c r="C89" s="40" t="s">
        <v>46</v>
      </c>
      <c r="D89" s="48" t="s">
        <v>47</v>
      </c>
      <c r="E89" s="39" t="s">
        <v>105</v>
      </c>
      <c r="F89" s="39" t="s">
        <v>46</v>
      </c>
      <c r="G89" s="39" t="s">
        <v>106</v>
      </c>
      <c r="H89" s="39" t="s">
        <v>46</v>
      </c>
      <c r="I89" s="48">
        <v>4</v>
      </c>
      <c r="J89" s="39"/>
      <c r="K89" s="49">
        <v>0.5</v>
      </c>
      <c r="M89" s="2"/>
      <c r="P89" s="34" t="str">
        <f t="shared" si="3"/>
        <v/>
      </c>
    </row>
    <row r="90" spans="1:16" ht="92.4" x14ac:dyDescent="0.25">
      <c r="A90" s="40" t="s">
        <v>46</v>
      </c>
      <c r="B90" s="41" t="s">
        <v>46</v>
      </c>
      <c r="C90" s="40" t="s">
        <v>46</v>
      </c>
      <c r="D90" s="40" t="s">
        <v>47</v>
      </c>
      <c r="E90" s="41" t="s">
        <v>107</v>
      </c>
      <c r="F90" s="40" t="s">
        <v>46</v>
      </c>
      <c r="G90" s="39" t="s">
        <v>108</v>
      </c>
      <c r="H90" s="41" t="s">
        <v>46</v>
      </c>
      <c r="I90" s="40">
        <v>4</v>
      </c>
      <c r="J90" s="40"/>
      <c r="K90" s="43">
        <v>0.5</v>
      </c>
      <c r="M90" s="2"/>
      <c r="P90" s="34" t="str">
        <f t="shared" si="3"/>
        <v/>
      </c>
    </row>
    <row r="91" spans="1:16" ht="105.6" x14ac:dyDescent="0.25">
      <c r="A91" s="40" t="s">
        <v>46</v>
      </c>
      <c r="B91" s="41" t="s">
        <v>46</v>
      </c>
      <c r="C91" s="40" t="s">
        <v>46</v>
      </c>
      <c r="D91" s="40" t="s">
        <v>47</v>
      </c>
      <c r="E91" s="41" t="s">
        <v>109</v>
      </c>
      <c r="F91" s="40" t="s">
        <v>46</v>
      </c>
      <c r="G91" s="39" t="s">
        <v>110</v>
      </c>
      <c r="H91" s="41" t="s">
        <v>46</v>
      </c>
      <c r="I91" s="40">
        <v>4</v>
      </c>
      <c r="J91" s="40"/>
      <c r="K91" s="43">
        <v>0.3</v>
      </c>
      <c r="M91" s="2"/>
      <c r="P91" s="34" t="str">
        <f t="shared" si="3"/>
        <v/>
      </c>
    </row>
    <row r="92" spans="1:16" ht="165.6" customHeight="1" x14ac:dyDescent="0.25">
      <c r="A92" s="40"/>
      <c r="B92" s="41"/>
      <c r="C92" s="40"/>
      <c r="D92" s="40" t="s">
        <v>47</v>
      </c>
      <c r="E92" s="41" t="s">
        <v>111</v>
      </c>
      <c r="F92" s="40"/>
      <c r="G92" s="39" t="s">
        <v>112</v>
      </c>
      <c r="H92" s="41"/>
      <c r="I92" s="40">
        <v>4</v>
      </c>
      <c r="J92" s="40"/>
      <c r="K92" s="43">
        <v>0.45</v>
      </c>
      <c r="M92" s="2"/>
      <c r="P92" s="34" t="str">
        <f t="shared" si="3"/>
        <v/>
      </c>
    </row>
    <row r="93" spans="1:16" ht="145.19999999999999" x14ac:dyDescent="0.25">
      <c r="A93" s="40"/>
      <c r="B93" s="41"/>
      <c r="C93" s="40"/>
      <c r="D93" s="40" t="s">
        <v>47</v>
      </c>
      <c r="E93" s="41" t="s">
        <v>113</v>
      </c>
      <c r="F93" s="40"/>
      <c r="G93" s="39" t="s">
        <v>332</v>
      </c>
      <c r="H93" s="41"/>
      <c r="I93" s="40">
        <v>4</v>
      </c>
      <c r="J93" s="40"/>
      <c r="K93" s="43">
        <v>0.7</v>
      </c>
      <c r="M93" s="2"/>
      <c r="P93" s="34" t="str">
        <f t="shared" si="3"/>
        <v/>
      </c>
    </row>
    <row r="94" spans="1:16" ht="136.19999999999999" customHeight="1" x14ac:dyDescent="0.25">
      <c r="A94" s="40"/>
      <c r="B94" s="41"/>
      <c r="C94" s="40"/>
      <c r="D94" s="40" t="s">
        <v>47</v>
      </c>
      <c r="E94" s="41" t="s">
        <v>114</v>
      </c>
      <c r="F94" s="40"/>
      <c r="G94" s="39" t="s">
        <v>115</v>
      </c>
      <c r="H94" s="41"/>
      <c r="I94" s="40">
        <v>4</v>
      </c>
      <c r="J94" s="40"/>
      <c r="K94" s="43">
        <v>0.35</v>
      </c>
      <c r="M94" s="2"/>
      <c r="P94" s="34" t="str">
        <f t="shared" si="3"/>
        <v/>
      </c>
    </row>
    <row r="95" spans="1:16" ht="132" x14ac:dyDescent="0.25">
      <c r="A95" s="40" t="s">
        <v>46</v>
      </c>
      <c r="B95" s="41" t="s">
        <v>46</v>
      </c>
      <c r="C95" s="40" t="s">
        <v>46</v>
      </c>
      <c r="D95" s="40" t="s">
        <v>47</v>
      </c>
      <c r="E95" s="41" t="s">
        <v>116</v>
      </c>
      <c r="F95" s="40" t="s">
        <v>46</v>
      </c>
      <c r="G95" s="39" t="s">
        <v>117</v>
      </c>
      <c r="H95" s="41" t="s">
        <v>46</v>
      </c>
      <c r="I95" s="40">
        <v>4</v>
      </c>
      <c r="J95" s="40"/>
      <c r="K95" s="43">
        <v>0.8</v>
      </c>
      <c r="M95" s="2"/>
      <c r="P95" s="34" t="str">
        <f t="shared" si="3"/>
        <v/>
      </c>
    </row>
    <row r="96" spans="1:16" ht="158.4" x14ac:dyDescent="0.25">
      <c r="A96" s="40"/>
      <c r="B96" s="41"/>
      <c r="C96" s="40"/>
      <c r="D96" s="40" t="s">
        <v>47</v>
      </c>
      <c r="E96" s="41" t="s">
        <v>118</v>
      </c>
      <c r="F96" s="40"/>
      <c r="G96" s="39" t="s">
        <v>119</v>
      </c>
      <c r="H96" s="41"/>
      <c r="I96" s="40">
        <v>4</v>
      </c>
      <c r="J96" s="40"/>
      <c r="K96" s="43">
        <v>0.55000000000000004</v>
      </c>
      <c r="M96" s="2"/>
      <c r="P96" s="34" t="str">
        <f t="shared" si="3"/>
        <v/>
      </c>
    </row>
    <row r="97" spans="1:16" ht="225" customHeight="1" x14ac:dyDescent="0.25">
      <c r="A97" s="40" t="s">
        <v>46</v>
      </c>
      <c r="B97" s="41" t="s">
        <v>46</v>
      </c>
      <c r="C97" s="40" t="s">
        <v>46</v>
      </c>
      <c r="D97" s="40" t="s">
        <v>47</v>
      </c>
      <c r="E97" s="41" t="s">
        <v>120</v>
      </c>
      <c r="F97" s="40" t="s">
        <v>46</v>
      </c>
      <c r="G97" s="39" t="s">
        <v>121</v>
      </c>
      <c r="H97" s="41" t="s">
        <v>46</v>
      </c>
      <c r="I97" s="40">
        <v>4</v>
      </c>
      <c r="J97" s="40"/>
      <c r="K97" s="43">
        <v>0.55000000000000004</v>
      </c>
      <c r="M97" s="2"/>
      <c r="P97" s="34" t="str">
        <f t="shared" si="3"/>
        <v/>
      </c>
    </row>
    <row r="98" spans="1:16" ht="111" customHeight="1" x14ac:dyDescent="0.25">
      <c r="A98" s="40"/>
      <c r="B98" s="41"/>
      <c r="C98" s="40"/>
      <c r="D98" s="40" t="s">
        <v>47</v>
      </c>
      <c r="E98" s="41" t="s">
        <v>122</v>
      </c>
      <c r="F98" s="40"/>
      <c r="G98" s="39" t="s">
        <v>400</v>
      </c>
      <c r="H98" s="41"/>
      <c r="I98" s="40">
        <v>4</v>
      </c>
      <c r="J98" s="40"/>
      <c r="K98" s="43">
        <v>0.25</v>
      </c>
      <c r="M98" s="2"/>
      <c r="P98" s="34" t="str">
        <f t="shared" si="3"/>
        <v/>
      </c>
    </row>
    <row r="99" spans="1:16" ht="132" x14ac:dyDescent="0.25">
      <c r="A99" s="40" t="s">
        <v>46</v>
      </c>
      <c r="B99" s="41" t="s">
        <v>46</v>
      </c>
      <c r="C99" s="40" t="s">
        <v>46</v>
      </c>
      <c r="D99" s="40" t="s">
        <v>47</v>
      </c>
      <c r="E99" s="41" t="s">
        <v>123</v>
      </c>
      <c r="F99" s="40" t="s">
        <v>46</v>
      </c>
      <c r="G99" s="39" t="s">
        <v>124</v>
      </c>
      <c r="H99" s="41" t="s">
        <v>46</v>
      </c>
      <c r="I99" s="40">
        <v>4</v>
      </c>
      <c r="J99" s="40"/>
      <c r="K99" s="43">
        <v>0.75</v>
      </c>
      <c r="M99" s="2"/>
      <c r="P99" s="34" t="str">
        <f t="shared" si="3"/>
        <v/>
      </c>
    </row>
    <row r="100" spans="1:16" x14ac:dyDescent="0.25">
      <c r="A100" s="40" t="s">
        <v>46</v>
      </c>
      <c r="B100" s="41" t="s">
        <v>46</v>
      </c>
      <c r="C100" s="40" t="s">
        <v>46</v>
      </c>
      <c r="D100" s="40" t="s">
        <v>49</v>
      </c>
      <c r="E100" s="41" t="s">
        <v>125</v>
      </c>
      <c r="F100" s="40" t="s">
        <v>46</v>
      </c>
      <c r="G100" s="41" t="s">
        <v>46</v>
      </c>
      <c r="H100" s="41" t="s">
        <v>46</v>
      </c>
      <c r="I100" s="40">
        <v>2</v>
      </c>
      <c r="J100" s="40"/>
      <c r="K100" s="43">
        <v>1</v>
      </c>
      <c r="M100" s="2"/>
      <c r="P100" s="34" t="str">
        <f t="shared" si="3"/>
        <v/>
      </c>
    </row>
    <row r="101" spans="1:16" ht="26.4" x14ac:dyDescent="0.25">
      <c r="A101" s="40" t="s">
        <v>46</v>
      </c>
      <c r="B101" s="41" t="s">
        <v>46</v>
      </c>
      <c r="C101" s="40" t="s">
        <v>46</v>
      </c>
      <c r="D101" s="40" t="s">
        <v>46</v>
      </c>
      <c r="E101" s="41" t="s">
        <v>46</v>
      </c>
      <c r="F101" s="40">
        <v>0</v>
      </c>
      <c r="G101" s="39" t="s">
        <v>126</v>
      </c>
      <c r="H101" s="41" t="s">
        <v>46</v>
      </c>
      <c r="I101" s="40"/>
      <c r="J101" s="40"/>
      <c r="K101" s="43"/>
      <c r="L101" s="2"/>
      <c r="M101" s="2"/>
      <c r="P101" s="34" t="str">
        <f t="shared" si="3"/>
        <v/>
      </c>
    </row>
    <row r="102" spans="1:16" ht="26.4" x14ac:dyDescent="0.25">
      <c r="A102" s="40" t="s">
        <v>46</v>
      </c>
      <c r="B102" s="41" t="s">
        <v>46</v>
      </c>
      <c r="C102" s="40" t="s">
        <v>46</v>
      </c>
      <c r="D102" s="40" t="s">
        <v>46</v>
      </c>
      <c r="E102" s="41" t="s">
        <v>46</v>
      </c>
      <c r="F102" s="40">
        <v>1</v>
      </c>
      <c r="G102" s="39" t="s">
        <v>127</v>
      </c>
      <c r="H102" s="41" t="s">
        <v>46</v>
      </c>
      <c r="I102" s="40"/>
      <c r="J102" s="40"/>
      <c r="K102" s="43"/>
      <c r="M102" s="2"/>
      <c r="P102" s="34" t="str">
        <f t="shared" si="3"/>
        <v/>
      </c>
    </row>
    <row r="103" spans="1:16" ht="66" x14ac:dyDescent="0.25">
      <c r="A103" s="40"/>
      <c r="B103" s="41" t="s">
        <v>46</v>
      </c>
      <c r="C103" s="40" t="s">
        <v>46</v>
      </c>
      <c r="D103" s="40" t="s">
        <v>46</v>
      </c>
      <c r="E103" s="41" t="s">
        <v>46</v>
      </c>
      <c r="F103" s="40">
        <v>2</v>
      </c>
      <c r="G103" s="39" t="s">
        <v>128</v>
      </c>
      <c r="H103" s="41" t="s">
        <v>46</v>
      </c>
      <c r="I103" s="40"/>
      <c r="J103" s="40"/>
      <c r="K103" s="43"/>
      <c r="M103" s="2"/>
      <c r="P103" s="34" t="str">
        <f t="shared" si="3"/>
        <v/>
      </c>
    </row>
    <row r="104" spans="1:16" ht="26.4" x14ac:dyDescent="0.25">
      <c r="A104" s="40" t="s">
        <v>46</v>
      </c>
      <c r="B104" s="41" t="s">
        <v>46</v>
      </c>
      <c r="C104" s="40" t="s">
        <v>46</v>
      </c>
      <c r="D104" s="40" t="s">
        <v>46</v>
      </c>
      <c r="E104" s="41" t="s">
        <v>46</v>
      </c>
      <c r="F104" s="40">
        <v>3</v>
      </c>
      <c r="G104" s="39" t="s">
        <v>129</v>
      </c>
      <c r="H104" s="41" t="s">
        <v>46</v>
      </c>
      <c r="I104" s="40"/>
      <c r="J104" s="40"/>
      <c r="K104" s="43"/>
      <c r="M104" s="2"/>
      <c r="P104" s="34" t="str">
        <f t="shared" si="3"/>
        <v/>
      </c>
    </row>
    <row r="105" spans="1:16" x14ac:dyDescent="0.25">
      <c r="A105" s="40" t="s">
        <v>46</v>
      </c>
      <c r="B105" s="41" t="s">
        <v>46</v>
      </c>
      <c r="C105" s="40" t="s">
        <v>46</v>
      </c>
      <c r="D105" s="40" t="s">
        <v>49</v>
      </c>
      <c r="E105" s="41" t="s">
        <v>130</v>
      </c>
      <c r="F105" s="40" t="s">
        <v>46</v>
      </c>
      <c r="G105" s="41" t="s">
        <v>46</v>
      </c>
      <c r="H105" s="41" t="s">
        <v>46</v>
      </c>
      <c r="I105" s="40">
        <v>4</v>
      </c>
      <c r="J105" s="40"/>
      <c r="K105" s="43">
        <v>1</v>
      </c>
      <c r="M105" s="2"/>
      <c r="P105" s="34" t="str">
        <f t="shared" si="3"/>
        <v/>
      </c>
    </row>
    <row r="106" spans="1:16" ht="39.6" x14ac:dyDescent="0.25">
      <c r="A106" s="40" t="s">
        <v>46</v>
      </c>
      <c r="B106" s="41" t="s">
        <v>46</v>
      </c>
      <c r="C106" s="40" t="s">
        <v>46</v>
      </c>
      <c r="D106" s="40" t="s">
        <v>46</v>
      </c>
      <c r="E106" s="41" t="s">
        <v>46</v>
      </c>
      <c r="F106" s="40">
        <v>0</v>
      </c>
      <c r="G106" s="39" t="s">
        <v>131</v>
      </c>
      <c r="H106" s="41" t="s">
        <v>46</v>
      </c>
      <c r="I106" s="40"/>
      <c r="J106" s="40"/>
      <c r="K106" s="43"/>
      <c r="M106" s="2"/>
      <c r="P106" s="34" t="str">
        <f t="shared" si="3"/>
        <v/>
      </c>
    </row>
    <row r="107" spans="1:16" ht="39.6" x14ac:dyDescent="0.25">
      <c r="A107" s="40" t="s">
        <v>46</v>
      </c>
      <c r="B107" s="41" t="s">
        <v>46</v>
      </c>
      <c r="C107" s="40" t="s">
        <v>46</v>
      </c>
      <c r="D107" s="40" t="s">
        <v>46</v>
      </c>
      <c r="E107" s="41" t="s">
        <v>46</v>
      </c>
      <c r="F107" s="40">
        <v>1</v>
      </c>
      <c r="G107" s="39" t="s">
        <v>132</v>
      </c>
      <c r="H107" s="41" t="s">
        <v>46</v>
      </c>
      <c r="I107" s="40"/>
      <c r="J107" s="40"/>
      <c r="K107" s="43"/>
      <c r="M107" s="2"/>
      <c r="P107" s="34" t="str">
        <f t="shared" si="3"/>
        <v/>
      </c>
    </row>
    <row r="108" spans="1:16" ht="26.4" x14ac:dyDescent="0.25">
      <c r="A108" s="40" t="s">
        <v>46</v>
      </c>
      <c r="B108" s="41" t="s">
        <v>46</v>
      </c>
      <c r="C108" s="40" t="s">
        <v>46</v>
      </c>
      <c r="D108" s="40" t="s">
        <v>46</v>
      </c>
      <c r="E108" s="41" t="s">
        <v>46</v>
      </c>
      <c r="F108" s="40">
        <v>2</v>
      </c>
      <c r="G108" s="39" t="s">
        <v>133</v>
      </c>
      <c r="H108" s="41" t="s">
        <v>46</v>
      </c>
      <c r="I108" s="40"/>
      <c r="J108" s="40"/>
      <c r="K108" s="43"/>
      <c r="M108" s="2"/>
      <c r="P108" s="34" t="str">
        <f t="shared" si="3"/>
        <v/>
      </c>
    </row>
    <row r="109" spans="1:16" ht="39.6" x14ac:dyDescent="0.25">
      <c r="A109" s="40" t="s">
        <v>46</v>
      </c>
      <c r="B109" s="41" t="s">
        <v>46</v>
      </c>
      <c r="C109" s="40" t="s">
        <v>46</v>
      </c>
      <c r="D109" s="40" t="s">
        <v>46</v>
      </c>
      <c r="E109" s="41" t="s">
        <v>46</v>
      </c>
      <c r="F109" s="40">
        <v>3</v>
      </c>
      <c r="G109" s="39" t="s">
        <v>134</v>
      </c>
      <c r="H109" s="41" t="s">
        <v>46</v>
      </c>
      <c r="I109" s="40"/>
      <c r="J109" s="40"/>
      <c r="K109" s="43"/>
      <c r="M109" s="2"/>
      <c r="P109" s="34" t="str">
        <f t="shared" si="3"/>
        <v/>
      </c>
    </row>
    <row r="110" spans="1:16" x14ac:dyDescent="0.25">
      <c r="A110" s="40" t="s">
        <v>282</v>
      </c>
      <c r="B110" s="41" t="s">
        <v>294</v>
      </c>
      <c r="C110" s="40">
        <v>2</v>
      </c>
      <c r="D110" s="40"/>
      <c r="E110" s="41"/>
      <c r="F110" s="40"/>
      <c r="G110" s="50"/>
      <c r="H110" s="41"/>
      <c r="I110" s="40"/>
      <c r="J110" s="40"/>
      <c r="K110" s="43"/>
      <c r="M110" s="2"/>
      <c r="P110" s="34" t="str">
        <f t="shared" si="3"/>
        <v/>
      </c>
    </row>
    <row r="111" spans="1:16" ht="26.4" x14ac:dyDescent="0.25">
      <c r="A111" s="40"/>
      <c r="B111" s="41"/>
      <c r="C111" s="40"/>
      <c r="D111" s="40" t="s">
        <v>47</v>
      </c>
      <c r="E111" s="41" t="s">
        <v>281</v>
      </c>
      <c r="F111" s="41"/>
      <c r="G111" s="61" t="s">
        <v>426</v>
      </c>
      <c r="H111" s="40"/>
      <c r="I111" s="40">
        <v>4</v>
      </c>
      <c r="J111" s="41"/>
      <c r="K111" s="43">
        <v>0.4</v>
      </c>
      <c r="M111" s="2"/>
      <c r="P111" s="34" t="str">
        <f t="shared" si="3"/>
        <v/>
      </c>
    </row>
    <row r="112" spans="1:16" ht="99" customHeight="1" x14ac:dyDescent="0.25">
      <c r="A112" s="40" t="s">
        <v>46</v>
      </c>
      <c r="B112" s="41" t="s">
        <v>46</v>
      </c>
      <c r="C112" s="40" t="s">
        <v>46</v>
      </c>
      <c r="D112" s="40" t="s">
        <v>47</v>
      </c>
      <c r="E112" s="41" t="s">
        <v>283</v>
      </c>
      <c r="F112" s="40"/>
      <c r="G112" s="45" t="s">
        <v>401</v>
      </c>
      <c r="H112" s="40"/>
      <c r="I112" s="40">
        <v>5</v>
      </c>
      <c r="J112" s="40"/>
      <c r="K112" s="43">
        <v>0.7</v>
      </c>
      <c r="M112" s="2"/>
      <c r="P112" s="34" t="str">
        <f t="shared" si="3"/>
        <v/>
      </c>
    </row>
    <row r="113" spans="1:16" ht="78" customHeight="1" x14ac:dyDescent="0.25">
      <c r="A113" s="40"/>
      <c r="B113" s="41"/>
      <c r="C113" s="40"/>
      <c r="D113" s="40" t="s">
        <v>47</v>
      </c>
      <c r="E113" s="41" t="s">
        <v>284</v>
      </c>
      <c r="F113" s="40"/>
      <c r="G113" s="90" t="s">
        <v>433</v>
      </c>
      <c r="H113" s="40"/>
      <c r="I113" s="40">
        <v>6</v>
      </c>
      <c r="J113" s="40"/>
      <c r="K113" s="43">
        <v>0.7</v>
      </c>
      <c r="L113" s="2"/>
      <c r="M113" s="2"/>
      <c r="P113" s="34" t="str">
        <f t="shared" si="3"/>
        <v/>
      </c>
    </row>
    <row r="114" spans="1:16" ht="92.4" x14ac:dyDescent="0.25">
      <c r="A114" s="40"/>
      <c r="B114" s="41"/>
      <c r="C114" s="40"/>
      <c r="D114" s="40" t="s">
        <v>49</v>
      </c>
      <c r="E114" s="39" t="s">
        <v>402</v>
      </c>
      <c r="F114" s="40"/>
      <c r="G114" s="45"/>
      <c r="H114" s="40"/>
      <c r="I114" s="40">
        <v>2</v>
      </c>
      <c r="J114" s="40"/>
      <c r="K114" s="43">
        <v>1</v>
      </c>
      <c r="L114" s="2"/>
      <c r="M114" s="2"/>
      <c r="P114" s="34" t="str">
        <f t="shared" si="3"/>
        <v/>
      </c>
    </row>
    <row r="115" spans="1:16" ht="26.4" x14ac:dyDescent="0.25">
      <c r="A115" s="40"/>
      <c r="B115" s="41"/>
      <c r="C115" s="40"/>
      <c r="D115" s="40"/>
      <c r="E115" s="41"/>
      <c r="F115" s="40">
        <v>0</v>
      </c>
      <c r="G115" s="45" t="s">
        <v>403</v>
      </c>
      <c r="H115" s="40"/>
      <c r="I115" s="40"/>
      <c r="J115" s="40"/>
      <c r="K115" s="43"/>
      <c r="L115" s="2"/>
      <c r="M115" s="2"/>
      <c r="P115" s="34" t="str">
        <f t="shared" si="3"/>
        <v/>
      </c>
    </row>
    <row r="116" spans="1:16" ht="26.4" x14ac:dyDescent="0.25">
      <c r="A116" s="40"/>
      <c r="B116" s="41"/>
      <c r="C116" s="40"/>
      <c r="D116" s="40"/>
      <c r="E116" s="41"/>
      <c r="F116" s="40">
        <v>1</v>
      </c>
      <c r="G116" s="45" t="s">
        <v>404</v>
      </c>
      <c r="H116" s="40"/>
      <c r="I116" s="40"/>
      <c r="J116" s="40"/>
      <c r="K116" s="43"/>
      <c r="L116" s="2"/>
      <c r="M116" s="2"/>
      <c r="P116" s="34" t="str">
        <f t="shared" si="3"/>
        <v/>
      </c>
    </row>
    <row r="117" spans="1:16" ht="26.4" x14ac:dyDescent="0.25">
      <c r="A117" s="40"/>
      <c r="B117" s="41"/>
      <c r="C117" s="40"/>
      <c r="D117" s="40"/>
      <c r="E117" s="41"/>
      <c r="F117" s="40">
        <v>2</v>
      </c>
      <c r="G117" s="45" t="s">
        <v>405</v>
      </c>
      <c r="H117" s="40"/>
      <c r="I117" s="40"/>
      <c r="J117" s="40"/>
      <c r="K117" s="43"/>
      <c r="L117" s="2"/>
      <c r="M117" s="2"/>
      <c r="P117" s="34" t="str">
        <f t="shared" si="3"/>
        <v/>
      </c>
    </row>
    <row r="118" spans="1:16" ht="39.6" x14ac:dyDescent="0.25">
      <c r="A118" s="40"/>
      <c r="B118" s="41"/>
      <c r="C118" s="40"/>
      <c r="D118" s="40"/>
      <c r="E118" s="41"/>
      <c r="F118" s="40">
        <v>3</v>
      </c>
      <c r="G118" s="45" t="s">
        <v>406</v>
      </c>
      <c r="H118" s="40"/>
      <c r="I118" s="40"/>
      <c r="J118" s="40"/>
      <c r="K118" s="43"/>
      <c r="L118" s="2"/>
      <c r="M118" s="2"/>
      <c r="P118" s="34" t="str">
        <f t="shared" si="3"/>
        <v/>
      </c>
    </row>
    <row r="119" spans="1:16" x14ac:dyDescent="0.25">
      <c r="A119" s="40"/>
      <c r="B119" s="41"/>
      <c r="C119" s="40"/>
      <c r="D119" s="40"/>
      <c r="E119" s="41"/>
      <c r="F119" s="40"/>
      <c r="G119" s="45"/>
      <c r="H119" s="40"/>
      <c r="I119" s="40"/>
      <c r="J119" s="40"/>
      <c r="K119" s="43"/>
      <c r="L119" s="2"/>
      <c r="M119" s="2"/>
      <c r="P119" s="34" t="str">
        <f t="shared" si="3"/>
        <v/>
      </c>
    </row>
    <row r="120" spans="1:16" ht="132" customHeight="1" x14ac:dyDescent="0.25">
      <c r="A120" s="40"/>
      <c r="B120" s="41"/>
      <c r="C120" s="40"/>
      <c r="D120" s="40" t="s">
        <v>47</v>
      </c>
      <c r="E120" s="41" t="s">
        <v>285</v>
      </c>
      <c r="F120" s="40"/>
      <c r="G120" s="45" t="s">
        <v>407</v>
      </c>
      <c r="H120" s="40"/>
      <c r="I120" s="40">
        <v>5</v>
      </c>
      <c r="J120" s="40"/>
      <c r="K120" s="43">
        <v>0.7</v>
      </c>
      <c r="L120" s="2"/>
      <c r="M120" s="2"/>
      <c r="P120" s="34" t="str">
        <f t="shared" si="3"/>
        <v/>
      </c>
    </row>
    <row r="121" spans="1:16" ht="66" x14ac:dyDescent="0.25">
      <c r="A121" s="40" t="s">
        <v>46</v>
      </c>
      <c r="B121" s="41" t="s">
        <v>46</v>
      </c>
      <c r="C121" s="40" t="s">
        <v>46</v>
      </c>
      <c r="D121" s="40" t="s">
        <v>47</v>
      </c>
      <c r="E121" s="41" t="s">
        <v>286</v>
      </c>
      <c r="F121" s="40"/>
      <c r="G121" s="45" t="s">
        <v>408</v>
      </c>
      <c r="H121" s="40"/>
      <c r="I121" s="40">
        <v>6</v>
      </c>
      <c r="J121" s="40"/>
      <c r="K121" s="43">
        <v>0.4</v>
      </c>
      <c r="L121" s="2"/>
      <c r="M121" s="2"/>
      <c r="P121" s="34" t="str">
        <f t="shared" si="3"/>
        <v/>
      </c>
    </row>
    <row r="122" spans="1:16" x14ac:dyDescent="0.25">
      <c r="A122" s="40"/>
      <c r="B122" s="41"/>
      <c r="C122" s="40"/>
      <c r="D122" s="40"/>
      <c r="E122" s="41"/>
      <c r="F122" s="40"/>
      <c r="G122" s="51"/>
      <c r="H122" s="40"/>
      <c r="I122" s="40"/>
      <c r="J122" s="40"/>
      <c r="K122" s="43"/>
      <c r="L122" s="2"/>
      <c r="M122" s="2"/>
      <c r="P122" s="34" t="str">
        <f t="shared" si="3"/>
        <v/>
      </c>
    </row>
    <row r="123" spans="1:16" x14ac:dyDescent="0.25">
      <c r="A123" s="40"/>
      <c r="B123" s="41"/>
      <c r="C123" s="40"/>
      <c r="D123" s="40" t="s">
        <v>49</v>
      </c>
      <c r="E123" s="41" t="s">
        <v>409</v>
      </c>
      <c r="F123" s="40"/>
      <c r="G123" s="51"/>
      <c r="H123" s="40"/>
      <c r="I123" s="40">
        <v>2</v>
      </c>
      <c r="J123" s="40"/>
      <c r="K123" s="43">
        <v>1</v>
      </c>
      <c r="L123" s="2"/>
      <c r="M123" s="2"/>
      <c r="P123" s="34" t="str">
        <f t="shared" si="3"/>
        <v/>
      </c>
    </row>
    <row r="124" spans="1:16" ht="26.4" x14ac:dyDescent="0.25">
      <c r="A124" s="40"/>
      <c r="B124" s="41"/>
      <c r="C124" s="40"/>
      <c r="D124" s="40"/>
      <c r="E124" s="41"/>
      <c r="F124" s="40">
        <v>0</v>
      </c>
      <c r="G124" s="45" t="s">
        <v>403</v>
      </c>
      <c r="H124" s="40"/>
      <c r="I124" s="40"/>
      <c r="J124" s="40"/>
      <c r="K124" s="43"/>
      <c r="L124" s="2"/>
      <c r="M124" s="2"/>
      <c r="P124" s="34" t="str">
        <f t="shared" si="3"/>
        <v/>
      </c>
    </row>
    <row r="125" spans="1:16" ht="26.4" x14ac:dyDescent="0.25">
      <c r="A125" s="40"/>
      <c r="B125" s="41"/>
      <c r="C125" s="40"/>
      <c r="D125" s="40"/>
      <c r="E125" s="41"/>
      <c r="F125" s="40">
        <v>1</v>
      </c>
      <c r="G125" s="45" t="s">
        <v>404</v>
      </c>
      <c r="H125" s="40"/>
      <c r="I125" s="40"/>
      <c r="J125" s="40"/>
      <c r="K125" s="43"/>
      <c r="L125" s="2"/>
      <c r="M125" s="2"/>
      <c r="P125" s="34" t="str">
        <f t="shared" si="3"/>
        <v/>
      </c>
    </row>
    <row r="126" spans="1:16" ht="26.4" x14ac:dyDescent="0.25">
      <c r="A126" s="40"/>
      <c r="B126" s="41"/>
      <c r="C126" s="40"/>
      <c r="D126" s="40"/>
      <c r="E126" s="41"/>
      <c r="F126" s="40">
        <v>2</v>
      </c>
      <c r="G126" s="45" t="s">
        <v>405</v>
      </c>
      <c r="H126" s="40"/>
      <c r="I126" s="40"/>
      <c r="J126" s="40"/>
      <c r="K126" s="43"/>
      <c r="L126" s="2"/>
      <c r="M126" s="2"/>
      <c r="P126" s="34" t="str">
        <f t="shared" si="3"/>
        <v/>
      </c>
    </row>
    <row r="127" spans="1:16" ht="39.6" x14ac:dyDescent="0.25">
      <c r="A127" s="40"/>
      <c r="B127" s="41"/>
      <c r="C127" s="40"/>
      <c r="D127" s="40"/>
      <c r="E127" s="41"/>
      <c r="F127" s="40">
        <v>3</v>
      </c>
      <c r="G127" s="45" t="s">
        <v>406</v>
      </c>
      <c r="H127" s="40"/>
      <c r="I127" s="40"/>
      <c r="J127" s="40"/>
      <c r="K127" s="43"/>
      <c r="L127" s="2"/>
      <c r="M127" s="2"/>
      <c r="P127" s="34" t="str">
        <f t="shared" si="3"/>
        <v/>
      </c>
    </row>
    <row r="128" spans="1:16" x14ac:dyDescent="0.25">
      <c r="A128" s="40"/>
      <c r="B128" s="41"/>
      <c r="C128" s="40"/>
      <c r="D128" s="40"/>
      <c r="E128" s="41"/>
      <c r="F128" s="40"/>
      <c r="G128" s="51"/>
      <c r="H128" s="40"/>
      <c r="I128" s="40"/>
      <c r="J128" s="40"/>
      <c r="K128" s="43"/>
      <c r="L128" s="2"/>
      <c r="M128" s="2"/>
      <c r="P128" s="34" t="str">
        <f t="shared" si="3"/>
        <v/>
      </c>
    </row>
    <row r="129" spans="1:16" ht="136.5" customHeight="1" x14ac:dyDescent="0.25">
      <c r="A129" s="40"/>
      <c r="B129" s="41"/>
      <c r="C129" s="40"/>
      <c r="D129" s="40" t="s">
        <v>47</v>
      </c>
      <c r="E129" s="41" t="s">
        <v>287</v>
      </c>
      <c r="F129" s="40"/>
      <c r="G129" s="45" t="s">
        <v>410</v>
      </c>
      <c r="H129" s="40"/>
      <c r="I129" s="40">
        <v>5</v>
      </c>
      <c r="J129" s="40"/>
      <c r="K129" s="43">
        <v>0.9</v>
      </c>
      <c r="L129" s="2"/>
      <c r="M129" s="2"/>
      <c r="P129" s="34" t="str">
        <f t="shared" si="3"/>
        <v/>
      </c>
    </row>
    <row r="130" spans="1:16" ht="211.2" x14ac:dyDescent="0.25">
      <c r="A130" s="40"/>
      <c r="B130" s="41"/>
      <c r="C130" s="40"/>
      <c r="D130" s="40" t="s">
        <v>47</v>
      </c>
      <c r="E130" s="41" t="s">
        <v>288</v>
      </c>
      <c r="F130" s="40"/>
      <c r="G130" s="45" t="s">
        <v>411</v>
      </c>
      <c r="H130" s="40"/>
      <c r="I130" s="40">
        <v>6</v>
      </c>
      <c r="J130" s="40"/>
      <c r="K130" s="43">
        <v>0.6</v>
      </c>
      <c r="L130" s="2"/>
      <c r="M130" s="2"/>
      <c r="P130" s="34" t="str">
        <f t="shared" si="3"/>
        <v/>
      </c>
    </row>
    <row r="131" spans="1:16" x14ac:dyDescent="0.25">
      <c r="A131" s="40"/>
      <c r="B131" s="41"/>
      <c r="C131" s="40"/>
      <c r="D131" s="40"/>
      <c r="E131" s="41"/>
      <c r="F131" s="40"/>
      <c r="G131" s="51"/>
      <c r="H131" s="40"/>
      <c r="I131" s="40"/>
      <c r="J131" s="40"/>
      <c r="K131" s="43"/>
      <c r="L131" s="2"/>
      <c r="M131" s="2"/>
      <c r="P131" s="34" t="str">
        <f t="shared" si="3"/>
        <v/>
      </c>
    </row>
    <row r="132" spans="1:16" x14ac:dyDescent="0.25">
      <c r="A132" s="40"/>
      <c r="B132" s="41"/>
      <c r="C132" s="40"/>
      <c r="D132" s="40"/>
      <c r="E132" s="41"/>
      <c r="F132" s="40"/>
      <c r="G132" s="51"/>
      <c r="H132" s="40"/>
      <c r="I132" s="40"/>
      <c r="J132" s="40"/>
      <c r="K132" s="43"/>
      <c r="L132" s="2"/>
      <c r="M132" s="2"/>
      <c r="P132" s="34" t="str">
        <f t="shared" si="3"/>
        <v/>
      </c>
    </row>
    <row r="133" spans="1:16" x14ac:dyDescent="0.25">
      <c r="A133" s="40"/>
      <c r="B133" s="41"/>
      <c r="C133" s="40"/>
      <c r="D133" s="40" t="s">
        <v>49</v>
      </c>
      <c r="E133" s="41" t="s">
        <v>412</v>
      </c>
      <c r="F133" s="40"/>
      <c r="G133" s="51"/>
      <c r="H133" s="40"/>
      <c r="I133" s="40">
        <v>2</v>
      </c>
      <c r="J133" s="40"/>
      <c r="K133" s="43">
        <v>1</v>
      </c>
      <c r="L133" s="2"/>
      <c r="M133" s="2"/>
      <c r="P133" s="34" t="str">
        <f t="shared" si="3"/>
        <v/>
      </c>
    </row>
    <row r="134" spans="1:16" ht="26.4" x14ac:dyDescent="0.25">
      <c r="A134" s="40"/>
      <c r="B134" s="41"/>
      <c r="C134" s="40"/>
      <c r="D134" s="40"/>
      <c r="E134" s="41"/>
      <c r="F134" s="40">
        <v>0</v>
      </c>
      <c r="G134" s="45" t="s">
        <v>403</v>
      </c>
      <c r="H134" s="40"/>
      <c r="I134" s="40"/>
      <c r="J134" s="40"/>
      <c r="K134" s="43"/>
      <c r="L134" s="2"/>
      <c r="M134" s="2"/>
      <c r="P134" s="34" t="str">
        <f t="shared" si="3"/>
        <v/>
      </c>
    </row>
    <row r="135" spans="1:16" ht="26.4" x14ac:dyDescent="0.25">
      <c r="A135" s="40"/>
      <c r="B135" s="41"/>
      <c r="C135" s="40"/>
      <c r="D135" s="40"/>
      <c r="E135" s="41"/>
      <c r="F135" s="40">
        <v>1</v>
      </c>
      <c r="G135" s="45" t="s">
        <v>404</v>
      </c>
      <c r="H135" s="40"/>
      <c r="I135" s="40"/>
      <c r="J135" s="40"/>
      <c r="K135" s="43"/>
      <c r="L135" s="2"/>
      <c r="M135" s="2"/>
      <c r="P135" s="34" t="str">
        <f t="shared" si="3"/>
        <v/>
      </c>
    </row>
    <row r="136" spans="1:16" ht="26.4" x14ac:dyDescent="0.25">
      <c r="A136" s="40"/>
      <c r="B136" s="41"/>
      <c r="C136" s="40"/>
      <c r="D136" s="40"/>
      <c r="E136" s="41"/>
      <c r="F136" s="40">
        <v>2</v>
      </c>
      <c r="G136" s="45" t="s">
        <v>405</v>
      </c>
      <c r="H136" s="40"/>
      <c r="I136" s="40"/>
      <c r="J136" s="40"/>
      <c r="K136" s="43"/>
      <c r="L136" s="2"/>
      <c r="M136" s="2"/>
      <c r="P136" s="34" t="str">
        <f t="shared" si="3"/>
        <v/>
      </c>
    </row>
    <row r="137" spans="1:16" ht="39.6" x14ac:dyDescent="0.25">
      <c r="A137" s="40"/>
      <c r="B137" s="41"/>
      <c r="C137" s="40"/>
      <c r="D137" s="40"/>
      <c r="E137" s="41"/>
      <c r="F137" s="40">
        <v>3</v>
      </c>
      <c r="G137" s="45" t="s">
        <v>406</v>
      </c>
      <c r="H137" s="40"/>
      <c r="I137" s="40"/>
      <c r="J137" s="40"/>
      <c r="K137" s="43"/>
      <c r="L137" s="2"/>
      <c r="M137" s="2"/>
      <c r="P137" s="34" t="str">
        <f t="shared" si="3"/>
        <v/>
      </c>
    </row>
    <row r="138" spans="1:16" x14ac:dyDescent="0.25">
      <c r="A138" s="40"/>
      <c r="B138" s="41"/>
      <c r="C138" s="40"/>
      <c r="D138" s="40"/>
      <c r="E138" s="41"/>
      <c r="F138" s="40"/>
      <c r="G138" s="51"/>
      <c r="H138" s="40"/>
      <c r="I138" s="40"/>
      <c r="J138" s="40"/>
      <c r="K138" s="43"/>
      <c r="L138" s="2"/>
      <c r="M138" s="2"/>
      <c r="P138" s="34" t="str">
        <f t="shared" si="3"/>
        <v/>
      </c>
    </row>
    <row r="139" spans="1:16" ht="149.25" customHeight="1" x14ac:dyDescent="0.25">
      <c r="A139" s="40"/>
      <c r="B139" s="41"/>
      <c r="C139" s="40"/>
      <c r="D139" s="40" t="s">
        <v>47</v>
      </c>
      <c r="E139" s="41" t="s">
        <v>289</v>
      </c>
      <c r="F139" s="40"/>
      <c r="G139" s="45" t="s">
        <v>413</v>
      </c>
      <c r="H139" s="40"/>
      <c r="I139" s="40">
        <v>5</v>
      </c>
      <c r="J139" s="40"/>
      <c r="K139" s="43">
        <v>0.9</v>
      </c>
      <c r="L139" s="2"/>
      <c r="M139" s="2"/>
      <c r="P139" s="34" t="str">
        <f t="shared" si="3"/>
        <v/>
      </c>
    </row>
    <row r="140" spans="1:16" ht="54" customHeight="1" x14ac:dyDescent="0.25">
      <c r="A140" s="40"/>
      <c r="B140" s="41"/>
      <c r="C140" s="40"/>
      <c r="D140" s="40" t="s">
        <v>47</v>
      </c>
      <c r="E140" s="41" t="s">
        <v>290</v>
      </c>
      <c r="F140" s="40"/>
      <c r="G140" s="45" t="s">
        <v>414</v>
      </c>
      <c r="H140" s="40"/>
      <c r="I140" s="40">
        <v>6</v>
      </c>
      <c r="J140" s="40"/>
      <c r="K140" s="43">
        <v>0.6</v>
      </c>
      <c r="L140" s="2"/>
      <c r="M140" s="2"/>
      <c r="P140" s="34" t="str">
        <f t="shared" si="3"/>
        <v/>
      </c>
    </row>
    <row r="141" spans="1:16" x14ac:dyDescent="0.25">
      <c r="A141" s="40"/>
      <c r="B141" s="41"/>
      <c r="C141" s="40"/>
      <c r="D141" s="40"/>
      <c r="E141" s="41"/>
      <c r="F141" s="40"/>
      <c r="G141" s="51"/>
      <c r="H141" s="40"/>
      <c r="I141" s="40"/>
      <c r="J141" s="40"/>
      <c r="K141" s="43"/>
      <c r="L141" s="2"/>
      <c r="M141" s="2"/>
      <c r="P141" s="34" t="str">
        <f t="shared" si="3"/>
        <v/>
      </c>
    </row>
    <row r="142" spans="1:16" x14ac:dyDescent="0.25">
      <c r="A142" s="40"/>
      <c r="B142" s="41"/>
      <c r="C142" s="40"/>
      <c r="D142" s="40" t="s">
        <v>49</v>
      </c>
      <c r="E142" s="41" t="s">
        <v>415</v>
      </c>
      <c r="F142" s="40"/>
      <c r="G142" s="51"/>
      <c r="H142" s="40"/>
      <c r="I142" s="40">
        <v>2</v>
      </c>
      <c r="J142" s="40"/>
      <c r="K142" s="43">
        <v>1</v>
      </c>
      <c r="L142" s="2"/>
      <c r="M142" s="2"/>
      <c r="P142" s="34" t="str">
        <f t="shared" si="3"/>
        <v/>
      </c>
    </row>
    <row r="143" spans="1:16" ht="26.4" x14ac:dyDescent="0.25">
      <c r="A143" s="40"/>
      <c r="B143" s="41"/>
      <c r="C143" s="40"/>
      <c r="D143" s="40"/>
      <c r="E143" s="41"/>
      <c r="F143" s="40">
        <v>0</v>
      </c>
      <c r="G143" s="45" t="s">
        <v>403</v>
      </c>
      <c r="H143" s="40"/>
      <c r="I143" s="40"/>
      <c r="J143" s="40"/>
      <c r="K143" s="43"/>
      <c r="L143" s="2"/>
      <c r="M143" s="2"/>
      <c r="P143" s="34" t="str">
        <f t="shared" si="3"/>
        <v/>
      </c>
    </row>
    <row r="144" spans="1:16" ht="26.4" x14ac:dyDescent="0.25">
      <c r="A144" s="40"/>
      <c r="B144" s="41"/>
      <c r="C144" s="40"/>
      <c r="D144" s="40"/>
      <c r="E144" s="41"/>
      <c r="F144" s="40">
        <v>1</v>
      </c>
      <c r="G144" s="45" t="s">
        <v>404</v>
      </c>
      <c r="H144" s="40"/>
      <c r="I144" s="40"/>
      <c r="J144" s="40"/>
      <c r="K144" s="43"/>
      <c r="L144" s="2"/>
      <c r="M144" s="2"/>
      <c r="P144" s="34" t="str">
        <f t="shared" si="3"/>
        <v/>
      </c>
    </row>
    <row r="145" spans="1:16" ht="26.4" x14ac:dyDescent="0.25">
      <c r="A145" s="40"/>
      <c r="B145" s="41"/>
      <c r="C145" s="40"/>
      <c r="D145" s="40"/>
      <c r="E145" s="41"/>
      <c r="F145" s="40">
        <v>2</v>
      </c>
      <c r="G145" s="45" t="s">
        <v>405</v>
      </c>
      <c r="H145" s="40"/>
      <c r="I145" s="40"/>
      <c r="J145" s="40"/>
      <c r="K145" s="43"/>
      <c r="L145" s="2"/>
      <c r="M145" s="2"/>
      <c r="P145" s="34" t="str">
        <f t="shared" si="3"/>
        <v/>
      </c>
    </row>
    <row r="146" spans="1:16" ht="39.6" x14ac:dyDescent="0.25">
      <c r="A146" s="40"/>
      <c r="B146" s="41"/>
      <c r="C146" s="40"/>
      <c r="D146" s="40"/>
      <c r="E146" s="41"/>
      <c r="F146" s="40">
        <v>3</v>
      </c>
      <c r="G146" s="45" t="s">
        <v>406</v>
      </c>
      <c r="H146" s="40"/>
      <c r="I146" s="40"/>
      <c r="J146" s="40"/>
      <c r="K146" s="43"/>
      <c r="L146" s="2"/>
      <c r="M146" s="2"/>
      <c r="P146" s="34" t="str">
        <f t="shared" si="3"/>
        <v/>
      </c>
    </row>
    <row r="147" spans="1:16" x14ac:dyDescent="0.25">
      <c r="A147" s="40"/>
      <c r="B147" s="41"/>
      <c r="C147" s="40"/>
      <c r="D147" s="40"/>
      <c r="E147" s="41"/>
      <c r="F147" s="40"/>
      <c r="G147" s="51"/>
      <c r="H147" s="40"/>
      <c r="I147" s="40"/>
      <c r="J147" s="40"/>
      <c r="K147" s="43"/>
      <c r="L147" s="2"/>
      <c r="M147" s="2"/>
      <c r="P147" s="34" t="str">
        <f t="shared" si="3"/>
        <v/>
      </c>
    </row>
    <row r="148" spans="1:16" ht="151.5" customHeight="1" x14ac:dyDescent="0.25">
      <c r="A148" s="40"/>
      <c r="B148" s="41"/>
      <c r="C148" s="40"/>
      <c r="D148" s="40" t="s">
        <v>47</v>
      </c>
      <c r="E148" s="41" t="s">
        <v>291</v>
      </c>
      <c r="F148" s="40"/>
      <c r="G148" s="45" t="s">
        <v>416</v>
      </c>
      <c r="H148" s="40"/>
      <c r="I148" s="40">
        <v>5</v>
      </c>
      <c r="J148" s="40"/>
      <c r="K148" s="43">
        <v>0.8</v>
      </c>
      <c r="L148" s="2"/>
      <c r="M148" s="2"/>
      <c r="P148" s="34" t="str">
        <f t="shared" si="3"/>
        <v/>
      </c>
    </row>
    <row r="149" spans="1:16" ht="36" customHeight="1" x14ac:dyDescent="0.25">
      <c r="A149" s="40"/>
      <c r="B149" s="41"/>
      <c r="C149" s="40"/>
      <c r="D149" s="40" t="s">
        <v>47</v>
      </c>
      <c r="E149" s="41" t="s">
        <v>292</v>
      </c>
      <c r="F149" s="40"/>
      <c r="G149" s="45" t="s">
        <v>417</v>
      </c>
      <c r="H149" s="40"/>
      <c r="I149" s="40">
        <v>6</v>
      </c>
      <c r="J149" s="40"/>
      <c r="K149" s="43">
        <v>0.3</v>
      </c>
      <c r="L149" s="2"/>
      <c r="M149" s="2"/>
      <c r="P149" s="34" t="str">
        <f t="shared" ref="P149:P212" si="4">IF(K149&lt;&gt;"",IF(OR(K149&lt;0.2,K149&gt;2),"Verificar",""),"")</f>
        <v/>
      </c>
    </row>
    <row r="150" spans="1:16" x14ac:dyDescent="0.25">
      <c r="A150" s="40"/>
      <c r="B150" s="41"/>
      <c r="C150" s="44"/>
      <c r="D150" s="40" t="s">
        <v>49</v>
      </c>
      <c r="E150" s="41" t="s">
        <v>418</v>
      </c>
      <c r="F150" s="40"/>
      <c r="G150" s="51"/>
      <c r="H150" s="40"/>
      <c r="I150" s="40">
        <v>4</v>
      </c>
      <c r="J150" s="40"/>
      <c r="K150" s="43">
        <v>1</v>
      </c>
      <c r="L150" s="2"/>
      <c r="M150" s="2"/>
      <c r="P150" s="34" t="str">
        <f t="shared" si="4"/>
        <v/>
      </c>
    </row>
    <row r="151" spans="1:16" ht="26.4" x14ac:dyDescent="0.25">
      <c r="A151" s="40"/>
      <c r="B151" s="41"/>
      <c r="C151" s="40"/>
      <c r="D151" s="40"/>
      <c r="E151" s="41"/>
      <c r="F151" s="40">
        <v>0</v>
      </c>
      <c r="G151" s="45" t="s">
        <v>403</v>
      </c>
      <c r="H151" s="40"/>
      <c r="I151" s="40"/>
      <c r="J151" s="40"/>
      <c r="K151" s="43"/>
      <c r="L151" s="2"/>
      <c r="M151" s="2"/>
      <c r="P151" s="34" t="str">
        <f t="shared" si="4"/>
        <v/>
      </c>
    </row>
    <row r="152" spans="1:16" ht="26.4" x14ac:dyDescent="0.25">
      <c r="A152" s="40"/>
      <c r="B152" s="41"/>
      <c r="C152" s="40"/>
      <c r="D152" s="40"/>
      <c r="E152" s="41"/>
      <c r="F152" s="40">
        <v>1</v>
      </c>
      <c r="G152" s="45" t="s">
        <v>404</v>
      </c>
      <c r="H152" s="40"/>
      <c r="I152" s="40"/>
      <c r="J152" s="40"/>
      <c r="K152" s="43"/>
      <c r="L152" s="2"/>
      <c r="M152" s="2"/>
      <c r="P152" s="34" t="str">
        <f t="shared" si="4"/>
        <v/>
      </c>
    </row>
    <row r="153" spans="1:16" ht="26.4" x14ac:dyDescent="0.25">
      <c r="A153" s="40"/>
      <c r="B153" s="41"/>
      <c r="C153" s="40"/>
      <c r="D153" s="40"/>
      <c r="E153" s="41"/>
      <c r="F153" s="40">
        <v>2</v>
      </c>
      <c r="G153" s="45" t="s">
        <v>405</v>
      </c>
      <c r="H153" s="40"/>
      <c r="I153" s="40"/>
      <c r="J153" s="40"/>
      <c r="K153" s="43"/>
      <c r="L153" s="2"/>
      <c r="M153" s="2"/>
      <c r="P153" s="34" t="str">
        <f t="shared" si="4"/>
        <v/>
      </c>
    </row>
    <row r="154" spans="1:16" ht="39.6" x14ac:dyDescent="0.25">
      <c r="A154" s="40"/>
      <c r="B154" s="41"/>
      <c r="C154" s="40"/>
      <c r="D154" s="40"/>
      <c r="E154" s="41"/>
      <c r="F154" s="40">
        <v>3</v>
      </c>
      <c r="G154" s="45" t="s">
        <v>406</v>
      </c>
      <c r="H154" s="40"/>
      <c r="I154" s="40"/>
      <c r="J154" s="40"/>
      <c r="K154" s="43"/>
      <c r="L154" s="2"/>
      <c r="M154" s="2"/>
      <c r="P154" s="34" t="str">
        <f t="shared" si="4"/>
        <v/>
      </c>
    </row>
    <row r="155" spans="1:16" x14ac:dyDescent="0.25">
      <c r="A155" s="40"/>
      <c r="B155" s="41"/>
      <c r="C155" s="40"/>
      <c r="D155" s="40"/>
      <c r="E155" s="41"/>
      <c r="F155" s="40"/>
      <c r="G155" s="51"/>
      <c r="H155" s="40"/>
      <c r="I155" s="40"/>
      <c r="J155" s="40"/>
      <c r="K155" s="43"/>
      <c r="L155" s="2"/>
      <c r="M155" s="2"/>
      <c r="P155" s="34" t="str">
        <f t="shared" si="4"/>
        <v/>
      </c>
    </row>
    <row r="156" spans="1:16" ht="129.75" customHeight="1" x14ac:dyDescent="0.25">
      <c r="A156" s="40"/>
      <c r="B156" s="41"/>
      <c r="C156" s="40"/>
      <c r="D156" s="40" t="s">
        <v>47</v>
      </c>
      <c r="E156" s="41" t="s">
        <v>293</v>
      </c>
      <c r="F156" s="40"/>
      <c r="G156" s="45" t="s">
        <v>419</v>
      </c>
      <c r="H156" s="40"/>
      <c r="I156" s="40">
        <v>5</v>
      </c>
      <c r="J156" s="40"/>
      <c r="K156" s="43">
        <v>0.9</v>
      </c>
      <c r="L156" s="2"/>
      <c r="M156" s="2"/>
      <c r="P156" s="34" t="str">
        <f t="shared" si="4"/>
        <v/>
      </c>
    </row>
    <row r="157" spans="1:16" ht="36" customHeight="1" x14ac:dyDescent="0.25">
      <c r="A157" s="40"/>
      <c r="B157" s="41"/>
      <c r="C157" s="40"/>
      <c r="D157" s="40" t="s">
        <v>47</v>
      </c>
      <c r="E157" s="41" t="s">
        <v>324</v>
      </c>
      <c r="F157" s="40"/>
      <c r="G157" s="45" t="s">
        <v>420</v>
      </c>
      <c r="H157" s="40"/>
      <c r="I157" s="40">
        <v>6</v>
      </c>
      <c r="J157" s="40"/>
      <c r="K157" s="43">
        <v>0.5</v>
      </c>
      <c r="L157" s="2"/>
      <c r="M157" s="2"/>
      <c r="P157" s="34" t="str">
        <f t="shared" si="4"/>
        <v/>
      </c>
    </row>
    <row r="158" spans="1:16" x14ac:dyDescent="0.25">
      <c r="A158" s="40"/>
      <c r="B158" s="41"/>
      <c r="C158" s="40"/>
      <c r="D158" s="40" t="s">
        <v>49</v>
      </c>
      <c r="E158" s="41" t="s">
        <v>421</v>
      </c>
      <c r="F158" s="40"/>
      <c r="G158" s="51"/>
      <c r="H158" s="40"/>
      <c r="I158" s="40">
        <v>2</v>
      </c>
      <c r="J158" s="40"/>
      <c r="K158" s="43">
        <v>1</v>
      </c>
      <c r="L158" s="2"/>
      <c r="M158" s="2"/>
      <c r="P158" s="34" t="str">
        <f t="shared" si="4"/>
        <v/>
      </c>
    </row>
    <row r="159" spans="1:16" ht="26.4" x14ac:dyDescent="0.25">
      <c r="A159" s="40"/>
      <c r="B159" s="41"/>
      <c r="C159" s="40"/>
      <c r="D159" s="40"/>
      <c r="E159" s="41"/>
      <c r="F159" s="40">
        <v>0</v>
      </c>
      <c r="G159" s="45" t="s">
        <v>403</v>
      </c>
      <c r="H159" s="40"/>
      <c r="I159" s="40"/>
      <c r="J159" s="40"/>
      <c r="K159" s="43"/>
      <c r="L159" s="2"/>
      <c r="P159" s="34" t="str">
        <f t="shared" si="4"/>
        <v/>
      </c>
    </row>
    <row r="160" spans="1:16" ht="26.4" x14ac:dyDescent="0.25">
      <c r="A160" s="40"/>
      <c r="B160" s="41"/>
      <c r="C160" s="40"/>
      <c r="D160" s="40"/>
      <c r="E160" s="41"/>
      <c r="F160" s="40">
        <v>1</v>
      </c>
      <c r="G160" s="45" t="s">
        <v>404</v>
      </c>
      <c r="H160" s="40"/>
      <c r="I160" s="40"/>
      <c r="J160" s="40"/>
      <c r="K160" s="43"/>
      <c r="L160" s="2"/>
      <c r="M160" s="2"/>
      <c r="P160" s="34" t="str">
        <f t="shared" si="4"/>
        <v/>
      </c>
    </row>
    <row r="161" spans="1:16" ht="26.4" x14ac:dyDescent="0.25">
      <c r="A161" s="40"/>
      <c r="B161" s="41"/>
      <c r="C161" s="40"/>
      <c r="D161" s="40"/>
      <c r="E161" s="41"/>
      <c r="F161" s="40">
        <v>2</v>
      </c>
      <c r="G161" s="45" t="s">
        <v>405</v>
      </c>
      <c r="H161" s="40"/>
      <c r="I161" s="40"/>
      <c r="J161" s="40"/>
      <c r="K161" s="43"/>
      <c r="L161" s="2"/>
      <c r="P161" s="34" t="str">
        <f t="shared" si="4"/>
        <v/>
      </c>
    </row>
    <row r="162" spans="1:16" ht="39.6" x14ac:dyDescent="0.25">
      <c r="A162" s="40"/>
      <c r="B162" s="41"/>
      <c r="C162" s="40"/>
      <c r="D162" s="40"/>
      <c r="E162" s="41"/>
      <c r="F162" s="40">
        <v>3</v>
      </c>
      <c r="G162" s="45" t="s">
        <v>406</v>
      </c>
      <c r="H162" s="40"/>
      <c r="I162" s="40"/>
      <c r="J162" s="40"/>
      <c r="K162" s="43"/>
      <c r="L162" s="2"/>
      <c r="P162" s="34" t="str">
        <f t="shared" si="4"/>
        <v/>
      </c>
    </row>
    <row r="163" spans="1:16" ht="66.599999999999994" thickBot="1" x14ac:dyDescent="0.3">
      <c r="A163" s="40"/>
      <c r="B163" s="41"/>
      <c r="C163" s="40"/>
      <c r="D163" s="40" t="s">
        <v>47</v>
      </c>
      <c r="E163" s="41" t="s">
        <v>277</v>
      </c>
      <c r="F163" s="40"/>
      <c r="G163" s="39" t="s">
        <v>427</v>
      </c>
      <c r="H163" s="40"/>
      <c r="I163" s="40">
        <v>6</v>
      </c>
      <c r="J163" s="40"/>
      <c r="K163" s="43">
        <v>0.6</v>
      </c>
      <c r="P163" s="34"/>
    </row>
    <row r="164" spans="1:16" ht="66.599999999999994" thickBot="1" x14ac:dyDescent="0.3">
      <c r="A164" s="52" t="s">
        <v>31</v>
      </c>
      <c r="B164" s="52" t="s">
        <v>32</v>
      </c>
      <c r="C164" s="52" t="s">
        <v>33</v>
      </c>
      <c r="D164" s="52" t="s">
        <v>34</v>
      </c>
      <c r="E164" s="52" t="s">
        <v>35</v>
      </c>
      <c r="F164" s="52" t="s">
        <v>36</v>
      </c>
      <c r="G164" s="3" t="s">
        <v>37</v>
      </c>
      <c r="H164" s="52" t="s">
        <v>38</v>
      </c>
      <c r="I164" s="52" t="s">
        <v>39</v>
      </c>
      <c r="J164" s="52" t="s">
        <v>40</v>
      </c>
      <c r="K164" s="53" t="s">
        <v>41</v>
      </c>
      <c r="L164" s="4" t="s">
        <v>53</v>
      </c>
      <c r="M164" s="5" t="s">
        <v>43</v>
      </c>
      <c r="N164" s="6">
        <f>SUM(K165:K191)</f>
        <v>20</v>
      </c>
      <c r="P164" s="34"/>
    </row>
    <row r="165" spans="1:16" x14ac:dyDescent="0.25">
      <c r="A165" s="54" t="s">
        <v>422</v>
      </c>
      <c r="B165" s="55" t="s">
        <v>23</v>
      </c>
      <c r="C165" s="54" t="s">
        <v>423</v>
      </c>
      <c r="D165" s="56" t="s">
        <v>46</v>
      </c>
      <c r="E165" s="56" t="s">
        <v>46</v>
      </c>
      <c r="F165" s="56" t="s">
        <v>46</v>
      </c>
      <c r="G165" s="56" t="s">
        <v>46</v>
      </c>
      <c r="H165" s="56" t="s">
        <v>46</v>
      </c>
      <c r="I165" s="56" t="s">
        <v>46</v>
      </c>
      <c r="J165" s="56" t="s">
        <v>46</v>
      </c>
      <c r="K165" s="57" t="s">
        <v>46</v>
      </c>
      <c r="P165" s="34"/>
    </row>
    <row r="166" spans="1:16" x14ac:dyDescent="0.25">
      <c r="A166" s="54" t="s">
        <v>46</v>
      </c>
      <c r="B166" s="56" t="s">
        <v>46</v>
      </c>
      <c r="C166" s="54" t="s">
        <v>46</v>
      </c>
      <c r="D166" s="54" t="s">
        <v>47</v>
      </c>
      <c r="E166" s="56" t="s">
        <v>424</v>
      </c>
      <c r="F166" s="54" t="s">
        <v>46</v>
      </c>
      <c r="G166" s="58" t="s">
        <v>425</v>
      </c>
      <c r="H166" s="56" t="s">
        <v>46</v>
      </c>
      <c r="I166" s="54">
        <v>1</v>
      </c>
      <c r="J166" s="54"/>
      <c r="K166" s="59">
        <v>0.9</v>
      </c>
      <c r="L166" s="2"/>
      <c r="P166" s="34"/>
    </row>
    <row r="167" spans="1:16" x14ac:dyDescent="0.25">
      <c r="A167" s="54" t="s">
        <v>46</v>
      </c>
      <c r="B167" s="56" t="s">
        <v>46</v>
      </c>
      <c r="C167" s="54" t="s">
        <v>46</v>
      </c>
      <c r="D167" s="54" t="s">
        <v>47</v>
      </c>
      <c r="E167" s="56" t="s">
        <v>257</v>
      </c>
      <c r="F167" s="54" t="s">
        <v>46</v>
      </c>
      <c r="G167" s="60" t="s">
        <v>302</v>
      </c>
      <c r="H167" s="56" t="s">
        <v>46</v>
      </c>
      <c r="I167" s="54">
        <v>1</v>
      </c>
      <c r="J167" s="54"/>
      <c r="K167" s="59">
        <v>0.8</v>
      </c>
      <c r="L167" s="2"/>
      <c r="P167" s="34" t="str">
        <f t="shared" si="4"/>
        <v/>
      </c>
    </row>
    <row r="168" spans="1:16" x14ac:dyDescent="0.25">
      <c r="A168" s="54" t="s">
        <v>46</v>
      </c>
      <c r="B168" s="56" t="s">
        <v>46</v>
      </c>
      <c r="C168" s="54" t="s">
        <v>46</v>
      </c>
      <c r="D168" s="54" t="s">
        <v>47</v>
      </c>
      <c r="E168" s="56" t="s">
        <v>258</v>
      </c>
      <c r="F168" s="54" t="s">
        <v>46</v>
      </c>
      <c r="G168" s="60" t="s">
        <v>259</v>
      </c>
      <c r="H168" s="56" t="s">
        <v>46</v>
      </c>
      <c r="I168" s="54">
        <v>1</v>
      </c>
      <c r="J168" s="54"/>
      <c r="K168" s="59">
        <v>0.5</v>
      </c>
      <c r="L168" s="2"/>
      <c r="P168" s="34" t="str">
        <f t="shared" si="4"/>
        <v/>
      </c>
    </row>
    <row r="169" spans="1:16" ht="39.6" x14ac:dyDescent="0.25">
      <c r="A169" s="54" t="s">
        <v>46</v>
      </c>
      <c r="B169" s="56" t="s">
        <v>46</v>
      </c>
      <c r="C169" s="54" t="s">
        <v>46</v>
      </c>
      <c r="D169" s="54" t="s">
        <v>47</v>
      </c>
      <c r="E169" s="56" t="s">
        <v>260</v>
      </c>
      <c r="F169" s="54" t="s">
        <v>46</v>
      </c>
      <c r="G169" s="60" t="s">
        <v>261</v>
      </c>
      <c r="H169" s="56" t="s">
        <v>46</v>
      </c>
      <c r="I169" s="54">
        <v>5</v>
      </c>
      <c r="J169" s="54"/>
      <c r="K169" s="59">
        <v>0.5</v>
      </c>
      <c r="L169" s="2"/>
      <c r="P169" s="34" t="str">
        <f t="shared" si="4"/>
        <v/>
      </c>
    </row>
    <row r="170" spans="1:16" ht="66" x14ac:dyDescent="0.25">
      <c r="A170" s="54" t="s">
        <v>46</v>
      </c>
      <c r="B170" s="56" t="s">
        <v>46</v>
      </c>
      <c r="C170" s="54" t="s">
        <v>46</v>
      </c>
      <c r="D170" s="54" t="s">
        <v>47</v>
      </c>
      <c r="E170" s="56" t="s">
        <v>262</v>
      </c>
      <c r="F170" s="54" t="s">
        <v>46</v>
      </c>
      <c r="G170" s="58" t="s">
        <v>296</v>
      </c>
      <c r="H170" s="56" t="s">
        <v>46</v>
      </c>
      <c r="I170" s="54">
        <v>6</v>
      </c>
      <c r="J170" s="54"/>
      <c r="K170" s="59">
        <v>1.1000000000000001</v>
      </c>
      <c r="L170" s="2"/>
      <c r="P170" s="34" t="str">
        <f t="shared" si="4"/>
        <v/>
      </c>
    </row>
    <row r="171" spans="1:16" ht="66" x14ac:dyDescent="0.25">
      <c r="A171" s="54" t="s">
        <v>46</v>
      </c>
      <c r="B171" s="56" t="s">
        <v>46</v>
      </c>
      <c r="C171" s="54" t="s">
        <v>46</v>
      </c>
      <c r="D171" s="54" t="s">
        <v>47</v>
      </c>
      <c r="E171" s="56" t="s">
        <v>263</v>
      </c>
      <c r="F171" s="54" t="s">
        <v>46</v>
      </c>
      <c r="G171" s="60" t="s">
        <v>264</v>
      </c>
      <c r="H171" s="56" t="s">
        <v>46</v>
      </c>
      <c r="I171" s="54">
        <v>5</v>
      </c>
      <c r="J171" s="54"/>
      <c r="K171" s="59">
        <v>0.5</v>
      </c>
      <c r="L171" s="2"/>
      <c r="P171" s="34" t="str">
        <f t="shared" si="4"/>
        <v/>
      </c>
    </row>
    <row r="172" spans="1:16" ht="172.8" customHeight="1" x14ac:dyDescent="0.25">
      <c r="A172" s="54" t="s">
        <v>46</v>
      </c>
      <c r="B172" s="56" t="s">
        <v>46</v>
      </c>
      <c r="C172" s="54" t="s">
        <v>46</v>
      </c>
      <c r="D172" s="54" t="s">
        <v>47</v>
      </c>
      <c r="E172" s="56" t="s">
        <v>265</v>
      </c>
      <c r="F172" s="54" t="s">
        <v>46</v>
      </c>
      <c r="G172" s="60" t="s">
        <v>373</v>
      </c>
      <c r="H172" s="56" t="s">
        <v>46</v>
      </c>
      <c r="I172" s="54">
        <v>6</v>
      </c>
      <c r="J172" s="54"/>
      <c r="K172" s="59">
        <v>1.6</v>
      </c>
      <c r="L172" s="2"/>
      <c r="P172" s="34" t="str">
        <f t="shared" si="4"/>
        <v/>
      </c>
    </row>
    <row r="173" spans="1:16" ht="132" x14ac:dyDescent="0.25">
      <c r="A173" s="54" t="s">
        <v>46</v>
      </c>
      <c r="B173" s="56" t="s">
        <v>46</v>
      </c>
      <c r="C173" s="54" t="s">
        <v>46</v>
      </c>
      <c r="D173" s="54" t="s">
        <v>47</v>
      </c>
      <c r="E173" s="56" t="s">
        <v>266</v>
      </c>
      <c r="F173" s="54" t="s">
        <v>46</v>
      </c>
      <c r="G173" s="58" t="s">
        <v>297</v>
      </c>
      <c r="H173" s="56" t="s">
        <v>46</v>
      </c>
      <c r="I173" s="54">
        <v>5</v>
      </c>
      <c r="J173" s="54"/>
      <c r="K173" s="59">
        <v>1</v>
      </c>
      <c r="L173" s="2"/>
      <c r="P173" s="34" t="str">
        <f t="shared" si="4"/>
        <v/>
      </c>
    </row>
    <row r="174" spans="1:16" ht="79.2" x14ac:dyDescent="0.25">
      <c r="A174" s="54" t="s">
        <v>46</v>
      </c>
      <c r="B174" s="56" t="s">
        <v>46</v>
      </c>
      <c r="C174" s="54" t="s">
        <v>46</v>
      </c>
      <c r="D174" s="54" t="s">
        <v>47</v>
      </c>
      <c r="E174" s="56" t="s">
        <v>267</v>
      </c>
      <c r="F174" s="54" t="s">
        <v>46</v>
      </c>
      <c r="G174" s="58" t="s">
        <v>372</v>
      </c>
      <c r="H174" s="56" t="s">
        <v>46</v>
      </c>
      <c r="I174" s="54">
        <v>6</v>
      </c>
      <c r="J174" s="54"/>
      <c r="K174" s="59">
        <v>1.2</v>
      </c>
      <c r="L174" s="2"/>
      <c r="P174" s="34" t="str">
        <f t="shared" si="4"/>
        <v/>
      </c>
    </row>
    <row r="175" spans="1:16" ht="79.2" x14ac:dyDescent="0.25">
      <c r="A175" s="54" t="s">
        <v>46</v>
      </c>
      <c r="B175" s="56" t="s">
        <v>46</v>
      </c>
      <c r="C175" s="54" t="s">
        <v>46</v>
      </c>
      <c r="D175" s="54" t="s">
        <v>47</v>
      </c>
      <c r="E175" s="56" t="s">
        <v>268</v>
      </c>
      <c r="F175" s="54" t="s">
        <v>46</v>
      </c>
      <c r="G175" s="60" t="s">
        <v>299</v>
      </c>
      <c r="H175" s="56" t="s">
        <v>46</v>
      </c>
      <c r="I175" s="54">
        <v>5</v>
      </c>
      <c r="J175" s="54"/>
      <c r="K175" s="59">
        <v>1</v>
      </c>
      <c r="L175" s="2"/>
      <c r="P175" s="34" t="str">
        <f t="shared" si="4"/>
        <v/>
      </c>
    </row>
    <row r="176" spans="1:16" ht="120.6" customHeight="1" x14ac:dyDescent="0.25">
      <c r="A176" s="54" t="s">
        <v>46</v>
      </c>
      <c r="B176" s="56" t="s">
        <v>46</v>
      </c>
      <c r="C176" s="54" t="s">
        <v>46</v>
      </c>
      <c r="D176" s="54" t="s">
        <v>47</v>
      </c>
      <c r="E176" s="56" t="s">
        <v>269</v>
      </c>
      <c r="F176" s="54" t="s">
        <v>46</v>
      </c>
      <c r="G176" s="58" t="s">
        <v>298</v>
      </c>
      <c r="H176" s="56" t="s">
        <v>46</v>
      </c>
      <c r="I176" s="54">
        <v>6</v>
      </c>
      <c r="J176" s="54"/>
      <c r="K176" s="59">
        <v>1.1000000000000001</v>
      </c>
      <c r="L176" s="2"/>
      <c r="P176" s="34" t="str">
        <f t="shared" si="4"/>
        <v/>
      </c>
    </row>
    <row r="177" spans="1:16" ht="94.8" customHeight="1" x14ac:dyDescent="0.25">
      <c r="A177" s="54" t="s">
        <v>46</v>
      </c>
      <c r="B177" s="56" t="s">
        <v>46</v>
      </c>
      <c r="C177" s="54" t="s">
        <v>46</v>
      </c>
      <c r="D177" s="54" t="s">
        <v>47</v>
      </c>
      <c r="E177" s="56" t="s">
        <v>270</v>
      </c>
      <c r="F177" s="54" t="s">
        <v>46</v>
      </c>
      <c r="G177" s="58" t="s">
        <v>374</v>
      </c>
      <c r="H177" s="56" t="s">
        <v>46</v>
      </c>
      <c r="I177" s="54">
        <v>6</v>
      </c>
      <c r="J177" s="54"/>
      <c r="K177" s="59">
        <v>1</v>
      </c>
      <c r="L177" s="2"/>
      <c r="P177" s="34" t="str">
        <f t="shared" si="4"/>
        <v/>
      </c>
    </row>
    <row r="178" spans="1:16" ht="105.6" x14ac:dyDescent="0.25">
      <c r="A178" s="54" t="s">
        <v>46</v>
      </c>
      <c r="B178" s="56" t="s">
        <v>46</v>
      </c>
      <c r="C178" s="54" t="s">
        <v>46</v>
      </c>
      <c r="D178" s="54" t="s">
        <v>47</v>
      </c>
      <c r="E178" s="56" t="s">
        <v>271</v>
      </c>
      <c r="F178" s="54" t="s">
        <v>46</v>
      </c>
      <c r="G178" s="58" t="s">
        <v>300</v>
      </c>
      <c r="H178" s="56" t="s">
        <v>46</v>
      </c>
      <c r="I178" s="54">
        <v>5</v>
      </c>
      <c r="J178" s="54"/>
      <c r="K178" s="59">
        <v>1</v>
      </c>
      <c r="L178" s="2"/>
      <c r="P178" s="34" t="str">
        <f t="shared" si="4"/>
        <v/>
      </c>
    </row>
    <row r="179" spans="1:16" ht="92.4" x14ac:dyDescent="0.25">
      <c r="A179" s="54" t="s">
        <v>46</v>
      </c>
      <c r="B179" s="56" t="s">
        <v>46</v>
      </c>
      <c r="C179" s="54" t="s">
        <v>46</v>
      </c>
      <c r="D179" s="54" t="s">
        <v>47</v>
      </c>
      <c r="E179" s="56" t="s">
        <v>272</v>
      </c>
      <c r="F179" s="54" t="s">
        <v>46</v>
      </c>
      <c r="G179" s="58" t="s">
        <v>307</v>
      </c>
      <c r="H179" s="56"/>
      <c r="I179" s="54">
        <v>6</v>
      </c>
      <c r="J179" s="54"/>
      <c r="K179" s="59">
        <v>1.3</v>
      </c>
      <c r="L179" s="2"/>
      <c r="P179" s="34" t="str">
        <f t="shared" si="4"/>
        <v/>
      </c>
    </row>
    <row r="180" spans="1:16" ht="130.19999999999999" customHeight="1" x14ac:dyDescent="0.25">
      <c r="A180" s="54" t="s">
        <v>46</v>
      </c>
      <c r="B180" s="56" t="s">
        <v>46</v>
      </c>
      <c r="C180" s="54" t="s">
        <v>46</v>
      </c>
      <c r="D180" s="54" t="s">
        <v>47</v>
      </c>
      <c r="E180" s="56" t="s">
        <v>273</v>
      </c>
      <c r="F180" s="54" t="s">
        <v>46</v>
      </c>
      <c r="G180" s="58" t="s">
        <v>375</v>
      </c>
      <c r="H180" s="56"/>
      <c r="I180" s="54">
        <v>6</v>
      </c>
      <c r="J180" s="54"/>
      <c r="K180" s="59">
        <v>1</v>
      </c>
      <c r="L180" s="2"/>
      <c r="P180" s="34" t="str">
        <f t="shared" si="4"/>
        <v/>
      </c>
    </row>
    <row r="181" spans="1:16" ht="158.4" x14ac:dyDescent="0.25">
      <c r="A181" s="54" t="s">
        <v>46</v>
      </c>
      <c r="B181" s="56" t="s">
        <v>46</v>
      </c>
      <c r="C181" s="54" t="s">
        <v>46</v>
      </c>
      <c r="D181" s="54" t="s">
        <v>47</v>
      </c>
      <c r="E181" s="56" t="s">
        <v>274</v>
      </c>
      <c r="F181" s="54" t="s">
        <v>46</v>
      </c>
      <c r="G181" s="58" t="s">
        <v>275</v>
      </c>
      <c r="H181" s="56" t="s">
        <v>46</v>
      </c>
      <c r="I181" s="54">
        <v>4</v>
      </c>
      <c r="J181" s="54"/>
      <c r="K181" s="59">
        <v>1.5</v>
      </c>
      <c r="L181" s="2"/>
      <c r="P181" s="34" t="str">
        <f t="shared" si="4"/>
        <v/>
      </c>
    </row>
    <row r="182" spans="1:16" ht="105.6" x14ac:dyDescent="0.25">
      <c r="A182" s="54" t="s">
        <v>46</v>
      </c>
      <c r="B182" s="56" t="s">
        <v>46</v>
      </c>
      <c r="C182" s="54" t="s">
        <v>46</v>
      </c>
      <c r="D182" s="54" t="s">
        <v>47</v>
      </c>
      <c r="E182" s="56" t="s">
        <v>276</v>
      </c>
      <c r="F182" s="54" t="s">
        <v>46</v>
      </c>
      <c r="G182" s="58" t="s">
        <v>301</v>
      </c>
      <c r="H182" s="56" t="s">
        <v>46</v>
      </c>
      <c r="I182" s="54">
        <v>6</v>
      </c>
      <c r="J182" s="54"/>
      <c r="K182" s="59">
        <v>1.8</v>
      </c>
      <c r="L182" s="2"/>
      <c r="P182" s="34" t="str">
        <f t="shared" si="4"/>
        <v/>
      </c>
    </row>
    <row r="183" spans="1:16" x14ac:dyDescent="0.25">
      <c r="A183" s="54"/>
      <c r="B183" s="56"/>
      <c r="C183" s="54"/>
      <c r="D183" s="54" t="s">
        <v>47</v>
      </c>
      <c r="E183" s="55" t="s">
        <v>277</v>
      </c>
      <c r="F183" s="54"/>
      <c r="G183" s="62" t="s">
        <v>278</v>
      </c>
      <c r="H183" s="56" t="s">
        <v>46</v>
      </c>
      <c r="I183" s="54">
        <v>4</v>
      </c>
      <c r="J183" s="54"/>
      <c r="K183" s="59">
        <v>0.4</v>
      </c>
      <c r="L183" s="2"/>
      <c r="P183" s="34" t="str">
        <f t="shared" si="4"/>
        <v/>
      </c>
    </row>
    <row r="184" spans="1:16" x14ac:dyDescent="0.25">
      <c r="A184" s="54"/>
      <c r="B184" s="56"/>
      <c r="C184" s="54"/>
      <c r="D184" s="54" t="s">
        <v>47</v>
      </c>
      <c r="E184" s="55" t="s">
        <v>277</v>
      </c>
      <c r="F184" s="54"/>
      <c r="G184" s="62" t="s">
        <v>295</v>
      </c>
      <c r="H184" s="56" t="s">
        <v>46</v>
      </c>
      <c r="I184" s="54">
        <v>4</v>
      </c>
      <c r="J184" s="54"/>
      <c r="K184" s="59">
        <v>0.8</v>
      </c>
      <c r="L184" s="2"/>
      <c r="P184" s="34" t="str">
        <f t="shared" si="4"/>
        <v/>
      </c>
    </row>
    <row r="185" spans="1:16" x14ac:dyDescent="0.25">
      <c r="A185" s="54" t="s">
        <v>46</v>
      </c>
      <c r="B185" s="56" t="s">
        <v>46</v>
      </c>
      <c r="C185" s="54" t="s">
        <v>46</v>
      </c>
      <c r="D185" s="54" t="s">
        <v>49</v>
      </c>
      <c r="E185" s="55" t="s">
        <v>277</v>
      </c>
      <c r="F185" s="54" t="s">
        <v>46</v>
      </c>
      <c r="G185" s="60" t="s">
        <v>46</v>
      </c>
      <c r="H185" s="56" t="s">
        <v>46</v>
      </c>
      <c r="I185" s="54">
        <v>4</v>
      </c>
      <c r="J185" s="54"/>
      <c r="K185" s="59">
        <v>1</v>
      </c>
      <c r="L185" s="2"/>
      <c r="P185" s="34" t="str">
        <f t="shared" si="4"/>
        <v/>
      </c>
    </row>
    <row r="186" spans="1:16" ht="26.4" x14ac:dyDescent="0.25">
      <c r="A186" s="54" t="s">
        <v>46</v>
      </c>
      <c r="B186" s="56" t="s">
        <v>46</v>
      </c>
      <c r="C186" s="54" t="s">
        <v>46</v>
      </c>
      <c r="D186" s="54" t="s">
        <v>46</v>
      </c>
      <c r="E186" s="56" t="s">
        <v>46</v>
      </c>
      <c r="F186" s="54">
        <v>0</v>
      </c>
      <c r="G186" s="58" t="s">
        <v>303</v>
      </c>
      <c r="H186" s="56" t="s">
        <v>46</v>
      </c>
      <c r="I186" s="54"/>
      <c r="J186" s="54"/>
      <c r="K186" s="59"/>
      <c r="L186" s="2"/>
      <c r="P186" s="34" t="str">
        <f t="shared" si="4"/>
        <v/>
      </c>
    </row>
    <row r="187" spans="1:16" ht="26.4" x14ac:dyDescent="0.25">
      <c r="A187" s="54" t="s">
        <v>46</v>
      </c>
      <c r="B187" s="56" t="s">
        <v>46</v>
      </c>
      <c r="C187" s="54" t="s">
        <v>46</v>
      </c>
      <c r="D187" s="54" t="s">
        <v>46</v>
      </c>
      <c r="E187" s="56" t="s">
        <v>46</v>
      </c>
      <c r="F187" s="54">
        <v>1</v>
      </c>
      <c r="G187" s="58" t="s">
        <v>304</v>
      </c>
      <c r="H187" s="56" t="s">
        <v>46</v>
      </c>
      <c r="I187" s="54"/>
      <c r="J187" s="54"/>
      <c r="K187" s="59"/>
      <c r="L187" s="2"/>
      <c r="P187" s="34" t="str">
        <f t="shared" si="4"/>
        <v/>
      </c>
    </row>
    <row r="188" spans="1:16" ht="39.6" x14ac:dyDescent="0.25">
      <c r="A188" s="54" t="s">
        <v>46</v>
      </c>
      <c r="B188" s="56" t="s">
        <v>46</v>
      </c>
      <c r="C188" s="54" t="s">
        <v>46</v>
      </c>
      <c r="D188" s="54" t="s">
        <v>46</v>
      </c>
      <c r="E188" s="56" t="s">
        <v>46</v>
      </c>
      <c r="F188" s="54">
        <v>2</v>
      </c>
      <c r="G188" s="58" t="s">
        <v>305</v>
      </c>
      <c r="H188" s="56" t="s">
        <v>46</v>
      </c>
      <c r="I188" s="54"/>
      <c r="J188" s="54"/>
      <c r="K188" s="59"/>
      <c r="L188" s="2"/>
      <c r="P188" s="34" t="str">
        <f t="shared" si="4"/>
        <v/>
      </c>
    </row>
    <row r="189" spans="1:16" ht="39.6" x14ac:dyDescent="0.25">
      <c r="A189" s="54" t="s">
        <v>46</v>
      </c>
      <c r="B189" s="56" t="s">
        <v>46</v>
      </c>
      <c r="C189" s="54" t="s">
        <v>46</v>
      </c>
      <c r="D189" s="54" t="s">
        <v>46</v>
      </c>
      <c r="E189" s="56" t="s">
        <v>46</v>
      </c>
      <c r="F189" s="54">
        <v>3</v>
      </c>
      <c r="G189" s="58" t="s">
        <v>306</v>
      </c>
      <c r="H189" s="56" t="s">
        <v>46</v>
      </c>
      <c r="I189" s="54"/>
      <c r="J189" s="54"/>
      <c r="K189" s="59"/>
      <c r="L189" s="2"/>
      <c r="P189" s="34" t="str">
        <f t="shared" si="4"/>
        <v/>
      </c>
    </row>
    <row r="190" spans="1:16" x14ac:dyDescent="0.25">
      <c r="A190" s="12" t="s">
        <v>46</v>
      </c>
      <c r="B190" s="15" t="s">
        <v>46</v>
      </c>
      <c r="C190" s="12" t="s">
        <v>46</v>
      </c>
      <c r="D190" s="12" t="s">
        <v>46</v>
      </c>
      <c r="E190" s="15" t="s">
        <v>46</v>
      </c>
      <c r="F190" s="12" t="s">
        <v>46</v>
      </c>
      <c r="G190" s="31" t="s">
        <v>46</v>
      </c>
      <c r="H190" s="15" t="s">
        <v>46</v>
      </c>
      <c r="I190" s="12"/>
      <c r="J190" s="12"/>
      <c r="K190" s="16"/>
      <c r="L190" s="2"/>
      <c r="P190" s="34" t="str">
        <f t="shared" si="4"/>
        <v/>
      </c>
    </row>
    <row r="191" spans="1:16" ht="13.8" thickBot="1" x14ac:dyDescent="0.3">
      <c r="A191" s="12" t="s">
        <v>46</v>
      </c>
      <c r="B191" s="15" t="s">
        <v>46</v>
      </c>
      <c r="C191" s="12" t="s">
        <v>46</v>
      </c>
      <c r="D191" s="12" t="s">
        <v>46</v>
      </c>
      <c r="E191" s="15" t="s">
        <v>46</v>
      </c>
      <c r="F191" s="12" t="s">
        <v>46</v>
      </c>
      <c r="G191" s="31" t="s">
        <v>46</v>
      </c>
      <c r="H191" s="15" t="s">
        <v>46</v>
      </c>
      <c r="I191" s="12"/>
      <c r="J191" s="12"/>
      <c r="K191" s="16"/>
      <c r="L191" s="2"/>
      <c r="P191" s="34" t="str">
        <f t="shared" si="4"/>
        <v/>
      </c>
    </row>
    <row r="192" spans="1:16" ht="66.599999999999994" thickBot="1" x14ac:dyDescent="0.3">
      <c r="A192" s="3" t="s">
        <v>31</v>
      </c>
      <c r="B192" s="3" t="s">
        <v>32</v>
      </c>
      <c r="C192" s="3" t="s">
        <v>33</v>
      </c>
      <c r="D192" s="3" t="s">
        <v>34</v>
      </c>
      <c r="E192" s="3" t="s">
        <v>35</v>
      </c>
      <c r="F192" s="3" t="s">
        <v>36</v>
      </c>
      <c r="G192" s="3" t="s">
        <v>37</v>
      </c>
      <c r="H192" s="3" t="s">
        <v>38</v>
      </c>
      <c r="I192" s="3" t="s">
        <v>39</v>
      </c>
      <c r="J192" s="3" t="s">
        <v>40</v>
      </c>
      <c r="K192" s="37" t="s">
        <v>41</v>
      </c>
      <c r="L192" s="4" t="s">
        <v>54</v>
      </c>
      <c r="M192" s="5" t="s">
        <v>43</v>
      </c>
      <c r="N192" s="6">
        <f>SUM(K193:K266)</f>
        <v>19.999999999999968</v>
      </c>
      <c r="P192" s="34"/>
    </row>
    <row r="193" spans="1:16" x14ac:dyDescent="0.25">
      <c r="A193" s="40" t="s">
        <v>55</v>
      </c>
      <c r="B193" s="41" t="s">
        <v>428</v>
      </c>
      <c r="C193" s="40">
        <v>3</v>
      </c>
      <c r="D193" s="41" t="s">
        <v>46</v>
      </c>
      <c r="E193" s="41" t="s">
        <v>46</v>
      </c>
      <c r="F193" s="41" t="s">
        <v>46</v>
      </c>
      <c r="G193" s="41" t="s">
        <v>46</v>
      </c>
      <c r="H193" s="41" t="s">
        <v>46</v>
      </c>
      <c r="I193" s="41" t="s">
        <v>46</v>
      </c>
      <c r="J193" s="41" t="s">
        <v>46</v>
      </c>
      <c r="K193" s="42" t="s">
        <v>46</v>
      </c>
      <c r="M193" s="2"/>
      <c r="P193" s="34" t="str">
        <f t="shared" si="4"/>
        <v/>
      </c>
    </row>
    <row r="194" spans="1:16" ht="196.95" customHeight="1" x14ac:dyDescent="0.25">
      <c r="A194" s="40" t="s">
        <v>46</v>
      </c>
      <c r="B194" s="41" t="s">
        <v>46</v>
      </c>
      <c r="C194" s="40" t="s">
        <v>46</v>
      </c>
      <c r="D194" s="40" t="s">
        <v>47</v>
      </c>
      <c r="E194" s="41" t="s">
        <v>48</v>
      </c>
      <c r="F194" s="40" t="s">
        <v>46</v>
      </c>
      <c r="G194" s="39" t="s">
        <v>381</v>
      </c>
      <c r="H194" s="41" t="s">
        <v>46</v>
      </c>
      <c r="I194" s="40">
        <v>1</v>
      </c>
      <c r="J194" s="40"/>
      <c r="K194" s="43">
        <v>1.85</v>
      </c>
      <c r="L194" s="2"/>
      <c r="M194" s="2"/>
      <c r="P194" s="34" t="str">
        <f t="shared" si="4"/>
        <v/>
      </c>
    </row>
    <row r="195" spans="1:16" ht="67.95" customHeight="1" x14ac:dyDescent="0.25">
      <c r="A195" s="40" t="s">
        <v>46</v>
      </c>
      <c r="B195" s="41" t="s">
        <v>46</v>
      </c>
      <c r="C195" s="40" t="s">
        <v>46</v>
      </c>
      <c r="D195" s="40" t="s">
        <v>47</v>
      </c>
      <c r="E195" s="41" t="s">
        <v>135</v>
      </c>
      <c r="F195" s="40"/>
      <c r="G195" s="39" t="s">
        <v>136</v>
      </c>
      <c r="H195" s="41"/>
      <c r="I195" s="40">
        <v>3</v>
      </c>
      <c r="J195" s="40"/>
      <c r="K195" s="43">
        <f>0.05*4</f>
        <v>0.2</v>
      </c>
      <c r="L195" s="2"/>
      <c r="M195" s="2"/>
      <c r="P195" s="34" t="str">
        <f t="shared" si="4"/>
        <v/>
      </c>
    </row>
    <row r="196" spans="1:16" ht="115.2" customHeight="1" x14ac:dyDescent="0.25">
      <c r="A196" s="40" t="s">
        <v>46</v>
      </c>
      <c r="B196" s="41" t="s">
        <v>46</v>
      </c>
      <c r="C196" s="40" t="s">
        <v>46</v>
      </c>
      <c r="D196" s="40" t="s">
        <v>47</v>
      </c>
      <c r="E196" s="41" t="s">
        <v>137</v>
      </c>
      <c r="F196" s="40"/>
      <c r="G196" s="39" t="s">
        <v>336</v>
      </c>
      <c r="H196" s="41" t="s">
        <v>46</v>
      </c>
      <c r="I196" s="40">
        <v>3</v>
      </c>
      <c r="J196" s="40"/>
      <c r="K196" s="43">
        <v>0.8</v>
      </c>
      <c r="L196" s="2"/>
      <c r="M196" s="2"/>
      <c r="P196" s="34" t="str">
        <f t="shared" si="4"/>
        <v/>
      </c>
    </row>
    <row r="197" spans="1:16" ht="87.6" customHeight="1" x14ac:dyDescent="0.25">
      <c r="A197" s="40" t="s">
        <v>46</v>
      </c>
      <c r="B197" s="41" t="s">
        <v>46</v>
      </c>
      <c r="C197" s="40" t="s">
        <v>46</v>
      </c>
      <c r="D197" s="40" t="s">
        <v>47</v>
      </c>
      <c r="E197" s="41" t="s">
        <v>138</v>
      </c>
      <c r="F197" s="40"/>
      <c r="G197" s="39" t="s">
        <v>378</v>
      </c>
      <c r="H197" s="41" t="s">
        <v>46</v>
      </c>
      <c r="I197" s="40">
        <v>3</v>
      </c>
      <c r="J197" s="40"/>
      <c r="K197" s="43">
        <v>0.2</v>
      </c>
      <c r="L197" s="2"/>
      <c r="M197" s="2"/>
      <c r="P197" s="34" t="str">
        <f t="shared" si="4"/>
        <v/>
      </c>
    </row>
    <row r="198" spans="1:16" ht="60" customHeight="1" x14ac:dyDescent="0.25">
      <c r="A198" s="40" t="s">
        <v>46</v>
      </c>
      <c r="B198" s="41" t="s">
        <v>46</v>
      </c>
      <c r="C198" s="40" t="s">
        <v>46</v>
      </c>
      <c r="D198" s="40" t="s">
        <v>47</v>
      </c>
      <c r="E198" s="41" t="s">
        <v>139</v>
      </c>
      <c r="F198" s="40"/>
      <c r="G198" s="39" t="s">
        <v>337</v>
      </c>
      <c r="H198" s="41" t="s">
        <v>46</v>
      </c>
      <c r="I198" s="40">
        <v>3</v>
      </c>
      <c r="J198" s="40"/>
      <c r="K198" s="43">
        <v>0.2</v>
      </c>
      <c r="L198" s="2"/>
      <c r="M198" s="2"/>
      <c r="P198" s="34" t="str">
        <f t="shared" si="4"/>
        <v/>
      </c>
    </row>
    <row r="199" spans="1:16" ht="270.60000000000002" customHeight="1" x14ac:dyDescent="0.25">
      <c r="A199" s="40"/>
      <c r="B199" s="41"/>
      <c r="C199" s="40"/>
      <c r="D199" s="40" t="s">
        <v>47</v>
      </c>
      <c r="E199" s="41" t="s">
        <v>140</v>
      </c>
      <c r="F199" s="40"/>
      <c r="G199" s="39" t="s">
        <v>141</v>
      </c>
      <c r="H199" s="41"/>
      <c r="I199" s="40">
        <v>6</v>
      </c>
      <c r="J199" s="40"/>
      <c r="K199" s="43">
        <v>0.95</v>
      </c>
      <c r="L199" s="2"/>
      <c r="M199" s="2"/>
      <c r="P199" s="34" t="str">
        <f t="shared" si="4"/>
        <v/>
      </c>
    </row>
    <row r="200" spans="1:16" ht="165.6" customHeight="1" x14ac:dyDescent="0.25">
      <c r="A200" s="40"/>
      <c r="B200" s="41"/>
      <c r="C200" s="40"/>
      <c r="D200" s="40" t="s">
        <v>47</v>
      </c>
      <c r="E200" s="41" t="s">
        <v>142</v>
      </c>
      <c r="F200" s="40"/>
      <c r="G200" s="39" t="s">
        <v>143</v>
      </c>
      <c r="H200" s="41"/>
      <c r="I200" s="40">
        <v>3</v>
      </c>
      <c r="J200" s="40"/>
      <c r="K200" s="43">
        <v>0.65</v>
      </c>
      <c r="L200" s="2"/>
      <c r="M200" s="2"/>
      <c r="P200" s="34" t="str">
        <f t="shared" si="4"/>
        <v/>
      </c>
    </row>
    <row r="201" spans="1:16" ht="36" customHeight="1" x14ac:dyDescent="0.25">
      <c r="A201" s="40"/>
      <c r="B201" s="41"/>
      <c r="C201" s="40"/>
      <c r="D201" s="40" t="s">
        <v>47</v>
      </c>
      <c r="E201" s="41" t="s">
        <v>144</v>
      </c>
      <c r="F201" s="40"/>
      <c r="G201" s="39" t="s">
        <v>338</v>
      </c>
      <c r="H201" s="41" t="s">
        <v>46</v>
      </c>
      <c r="I201" s="40">
        <v>3</v>
      </c>
      <c r="J201" s="41" t="s">
        <v>46</v>
      </c>
      <c r="K201" s="43">
        <v>0.2</v>
      </c>
      <c r="L201" s="2"/>
      <c r="M201" s="2"/>
      <c r="P201" s="34" t="str">
        <f t="shared" si="4"/>
        <v/>
      </c>
    </row>
    <row r="202" spans="1:16" ht="87.6" customHeight="1" x14ac:dyDescent="0.25">
      <c r="A202" s="40"/>
      <c r="B202" s="41"/>
      <c r="C202" s="40"/>
      <c r="D202" s="40" t="s">
        <v>47</v>
      </c>
      <c r="E202" s="41" t="s">
        <v>145</v>
      </c>
      <c r="F202" s="41"/>
      <c r="G202" s="39" t="s">
        <v>376</v>
      </c>
      <c r="H202" s="41"/>
      <c r="I202" s="40">
        <v>3</v>
      </c>
      <c r="J202" s="41"/>
      <c r="K202" s="43">
        <v>0.3</v>
      </c>
      <c r="L202" s="2"/>
      <c r="M202" s="2"/>
      <c r="P202" s="34" t="str">
        <f t="shared" si="4"/>
        <v/>
      </c>
    </row>
    <row r="203" spans="1:16" ht="72" customHeight="1" x14ac:dyDescent="0.25">
      <c r="A203" s="40"/>
      <c r="B203" s="41"/>
      <c r="C203" s="40"/>
      <c r="D203" s="40" t="s">
        <v>47</v>
      </c>
      <c r="E203" s="41" t="s">
        <v>146</v>
      </c>
      <c r="F203" s="40"/>
      <c r="G203" s="39" t="s">
        <v>377</v>
      </c>
      <c r="H203" s="41"/>
      <c r="I203" s="40">
        <v>3</v>
      </c>
      <c r="J203" s="41"/>
      <c r="K203" s="43">
        <v>0.2</v>
      </c>
      <c r="L203" s="2"/>
      <c r="M203" s="2"/>
      <c r="P203" s="34" t="str">
        <f t="shared" si="4"/>
        <v/>
      </c>
    </row>
    <row r="204" spans="1:16" ht="41.4" customHeight="1" x14ac:dyDescent="0.25">
      <c r="A204" s="40"/>
      <c r="B204" s="41"/>
      <c r="C204" s="40"/>
      <c r="D204" s="40" t="s">
        <v>47</v>
      </c>
      <c r="E204" s="41" t="s">
        <v>147</v>
      </c>
      <c r="F204" s="40"/>
      <c r="G204" s="39" t="s">
        <v>339</v>
      </c>
      <c r="H204" s="41"/>
      <c r="I204" s="40">
        <v>3</v>
      </c>
      <c r="J204" s="41"/>
      <c r="K204" s="43">
        <v>0.2</v>
      </c>
      <c r="L204" s="2"/>
      <c r="M204" s="2"/>
      <c r="P204" s="34" t="str">
        <f t="shared" si="4"/>
        <v/>
      </c>
    </row>
    <row r="205" spans="1:16" ht="208.2" customHeight="1" x14ac:dyDescent="0.25">
      <c r="A205" s="40"/>
      <c r="B205" s="41"/>
      <c r="C205" s="40"/>
      <c r="D205" s="40" t="s">
        <v>47</v>
      </c>
      <c r="E205" s="41" t="s">
        <v>148</v>
      </c>
      <c r="F205" s="40"/>
      <c r="G205" s="39" t="s">
        <v>379</v>
      </c>
      <c r="H205" s="41"/>
      <c r="I205" s="40">
        <v>3</v>
      </c>
      <c r="J205" s="41"/>
      <c r="K205" s="43">
        <v>0.85</v>
      </c>
      <c r="L205" s="2"/>
      <c r="M205" s="2"/>
      <c r="P205" s="34" t="str">
        <f t="shared" si="4"/>
        <v/>
      </c>
    </row>
    <row r="206" spans="1:16" ht="36" customHeight="1" x14ac:dyDescent="0.25">
      <c r="A206" s="40"/>
      <c r="B206" s="41"/>
      <c r="C206" s="40"/>
      <c r="D206" s="40" t="s">
        <v>47</v>
      </c>
      <c r="E206" s="41" t="s">
        <v>149</v>
      </c>
      <c r="F206" s="40"/>
      <c r="G206" s="39" t="s">
        <v>340</v>
      </c>
      <c r="H206" s="41"/>
      <c r="I206" s="40">
        <v>3</v>
      </c>
      <c r="J206" s="41"/>
      <c r="K206" s="43">
        <v>0.2</v>
      </c>
      <c r="L206" s="2"/>
      <c r="M206" s="2"/>
      <c r="P206" s="34" t="str">
        <f t="shared" si="4"/>
        <v/>
      </c>
    </row>
    <row r="207" spans="1:16" ht="274.2" customHeight="1" x14ac:dyDescent="0.25">
      <c r="A207" s="40"/>
      <c r="B207" s="41"/>
      <c r="C207" s="40"/>
      <c r="D207" s="40" t="s">
        <v>47</v>
      </c>
      <c r="E207" s="41" t="s">
        <v>150</v>
      </c>
      <c r="F207" s="41"/>
      <c r="G207" s="39" t="s">
        <v>429</v>
      </c>
      <c r="H207" s="41"/>
      <c r="I207" s="40">
        <v>3</v>
      </c>
      <c r="J207" s="41"/>
      <c r="K207" s="43">
        <v>0.85</v>
      </c>
      <c r="L207" s="2"/>
      <c r="M207" s="2"/>
      <c r="P207" s="34" t="str">
        <f t="shared" si="4"/>
        <v/>
      </c>
    </row>
    <row r="208" spans="1:16" ht="160.19999999999999" customHeight="1" x14ac:dyDescent="0.25">
      <c r="A208" s="40"/>
      <c r="B208" s="41"/>
      <c r="C208" s="40"/>
      <c r="D208" s="40" t="s">
        <v>47</v>
      </c>
      <c r="E208" s="41" t="s">
        <v>151</v>
      </c>
      <c r="F208" s="40"/>
      <c r="G208" s="39" t="s">
        <v>430</v>
      </c>
      <c r="H208" s="41"/>
      <c r="I208" s="40">
        <v>5</v>
      </c>
      <c r="J208" s="41"/>
      <c r="K208" s="43">
        <v>0.35</v>
      </c>
      <c r="L208" s="2"/>
      <c r="M208" s="2"/>
      <c r="P208" s="34" t="str">
        <f t="shared" si="4"/>
        <v/>
      </c>
    </row>
    <row r="209" spans="1:16" x14ac:dyDescent="0.25">
      <c r="A209" s="40"/>
      <c r="B209" s="41"/>
      <c r="C209" s="40"/>
      <c r="D209" s="40" t="s">
        <v>47</v>
      </c>
      <c r="E209" s="41" t="s">
        <v>152</v>
      </c>
      <c r="F209" s="40"/>
      <c r="G209" s="39" t="s">
        <v>153</v>
      </c>
      <c r="H209" s="41"/>
      <c r="I209" s="40">
        <v>7</v>
      </c>
      <c r="J209" s="40"/>
      <c r="K209" s="43">
        <v>0.2</v>
      </c>
      <c r="L209" s="2"/>
      <c r="M209" s="2"/>
      <c r="P209" s="34" t="str">
        <f t="shared" si="4"/>
        <v/>
      </c>
    </row>
    <row r="210" spans="1:16" x14ac:dyDescent="0.25">
      <c r="A210" s="40"/>
      <c r="B210" s="41"/>
      <c r="C210" s="40"/>
      <c r="D210" s="40" t="s">
        <v>47</v>
      </c>
      <c r="E210" s="41" t="s">
        <v>154</v>
      </c>
      <c r="F210" s="40"/>
      <c r="G210" s="39" t="s">
        <v>155</v>
      </c>
      <c r="H210" s="41"/>
      <c r="I210" s="40">
        <v>7</v>
      </c>
      <c r="J210" s="40"/>
      <c r="K210" s="43">
        <v>0.2</v>
      </c>
      <c r="L210" s="2"/>
      <c r="M210" s="2"/>
      <c r="P210" s="34" t="str">
        <f t="shared" si="4"/>
        <v/>
      </c>
    </row>
    <row r="211" spans="1:16" x14ac:dyDescent="0.25">
      <c r="A211" s="40"/>
      <c r="B211" s="41"/>
      <c r="C211" s="40"/>
      <c r="D211" s="40" t="s">
        <v>47</v>
      </c>
      <c r="E211" s="41" t="s">
        <v>156</v>
      </c>
      <c r="F211" s="40"/>
      <c r="G211" s="39" t="s">
        <v>342</v>
      </c>
      <c r="H211" s="41"/>
      <c r="I211" s="40">
        <v>7</v>
      </c>
      <c r="J211" s="40"/>
      <c r="K211" s="43">
        <v>0.2</v>
      </c>
      <c r="L211" s="2"/>
      <c r="M211" s="2"/>
      <c r="P211" s="34" t="str">
        <f t="shared" si="4"/>
        <v/>
      </c>
    </row>
    <row r="212" spans="1:16" x14ac:dyDescent="0.25">
      <c r="A212" s="40"/>
      <c r="B212" s="41"/>
      <c r="C212" s="40"/>
      <c r="D212" s="40" t="s">
        <v>47</v>
      </c>
      <c r="E212" s="41" t="s">
        <v>157</v>
      </c>
      <c r="F212" s="40"/>
      <c r="G212" s="39" t="s">
        <v>158</v>
      </c>
      <c r="H212" s="41"/>
      <c r="I212" s="40">
        <v>7</v>
      </c>
      <c r="J212" s="40"/>
      <c r="K212" s="43">
        <v>0.2</v>
      </c>
      <c r="L212" s="2"/>
      <c r="M212" s="2"/>
      <c r="P212" s="34" t="str">
        <f t="shared" si="4"/>
        <v/>
      </c>
    </row>
    <row r="213" spans="1:16" x14ac:dyDescent="0.25">
      <c r="A213" s="40"/>
      <c r="B213" s="41"/>
      <c r="C213" s="40"/>
      <c r="D213" s="40" t="s">
        <v>47</v>
      </c>
      <c r="E213" s="41" t="s">
        <v>159</v>
      </c>
      <c r="F213" s="40"/>
      <c r="G213" s="39" t="s">
        <v>160</v>
      </c>
      <c r="H213" s="41"/>
      <c r="I213" s="40">
        <v>7</v>
      </c>
      <c r="J213" s="40"/>
      <c r="K213" s="43">
        <v>0.2</v>
      </c>
      <c r="L213" s="2"/>
      <c r="M213" s="2"/>
      <c r="P213" s="34" t="str">
        <f t="shared" ref="P213:P265" si="5">IF(K213&lt;&gt;"",IF(OR(K213&lt;0.2,K213&gt;2),"Verificar",""),"")</f>
        <v/>
      </c>
    </row>
    <row r="214" spans="1:16" x14ac:dyDescent="0.25">
      <c r="A214" s="40"/>
      <c r="B214" s="41"/>
      <c r="C214" s="40"/>
      <c r="D214" s="40" t="s">
        <v>47</v>
      </c>
      <c r="E214" s="41" t="s">
        <v>161</v>
      </c>
      <c r="F214" s="40"/>
      <c r="G214" s="39" t="s">
        <v>162</v>
      </c>
      <c r="H214" s="41"/>
      <c r="I214" s="40">
        <v>7</v>
      </c>
      <c r="J214" s="40"/>
      <c r="K214" s="43">
        <v>0.2</v>
      </c>
      <c r="L214" s="2"/>
      <c r="M214" s="2"/>
      <c r="P214" s="34" t="str">
        <f t="shared" si="5"/>
        <v/>
      </c>
    </row>
    <row r="215" spans="1:16" x14ac:dyDescent="0.25">
      <c r="A215" s="40"/>
      <c r="B215" s="41"/>
      <c r="C215" s="40"/>
      <c r="D215" s="40" t="s">
        <v>47</v>
      </c>
      <c r="E215" s="41" t="s">
        <v>163</v>
      </c>
      <c r="F215" s="40"/>
      <c r="G215" s="39" t="s">
        <v>164</v>
      </c>
      <c r="H215" s="41"/>
      <c r="I215" s="40">
        <v>7</v>
      </c>
      <c r="J215" s="40"/>
      <c r="K215" s="43">
        <v>0.2</v>
      </c>
      <c r="L215" s="2"/>
      <c r="M215" s="2"/>
      <c r="P215" s="34" t="str">
        <f t="shared" si="5"/>
        <v/>
      </c>
    </row>
    <row r="216" spans="1:16" x14ac:dyDescent="0.25">
      <c r="A216" s="40"/>
      <c r="B216" s="41"/>
      <c r="C216" s="40"/>
      <c r="D216" s="40" t="s">
        <v>47</v>
      </c>
      <c r="E216" s="41" t="s">
        <v>165</v>
      </c>
      <c r="F216" s="40"/>
      <c r="G216" s="39" t="s">
        <v>166</v>
      </c>
      <c r="H216" s="41"/>
      <c r="I216" s="40">
        <v>7</v>
      </c>
      <c r="J216" s="40"/>
      <c r="K216" s="43">
        <v>0.2</v>
      </c>
      <c r="L216" s="2"/>
      <c r="M216" s="2"/>
      <c r="P216" s="34" t="str">
        <f t="shared" si="5"/>
        <v/>
      </c>
    </row>
    <row r="217" spans="1:16" x14ac:dyDescent="0.25">
      <c r="A217" s="40"/>
      <c r="B217" s="41"/>
      <c r="C217" s="40"/>
      <c r="D217" s="40" t="s">
        <v>47</v>
      </c>
      <c r="E217" s="41" t="s">
        <v>167</v>
      </c>
      <c r="F217" s="40"/>
      <c r="G217" s="39" t="s">
        <v>168</v>
      </c>
      <c r="H217" s="41"/>
      <c r="I217" s="40">
        <v>7</v>
      </c>
      <c r="J217" s="40"/>
      <c r="K217" s="43">
        <v>0.2</v>
      </c>
      <c r="L217" s="2"/>
      <c r="M217" s="2"/>
      <c r="P217" s="34" t="str">
        <f t="shared" si="5"/>
        <v/>
      </c>
    </row>
    <row r="218" spans="1:16" x14ac:dyDescent="0.25">
      <c r="A218" s="40"/>
      <c r="B218" s="41"/>
      <c r="C218" s="40"/>
      <c r="D218" s="40" t="s">
        <v>47</v>
      </c>
      <c r="E218" s="41" t="s">
        <v>169</v>
      </c>
      <c r="F218" s="40"/>
      <c r="G218" s="39" t="s">
        <v>170</v>
      </c>
      <c r="H218" s="41"/>
      <c r="I218" s="40">
        <v>7</v>
      </c>
      <c r="J218" s="40"/>
      <c r="K218" s="43">
        <v>0.2</v>
      </c>
      <c r="L218" s="2"/>
      <c r="M218" s="2"/>
      <c r="P218" s="34" t="str">
        <f t="shared" si="5"/>
        <v/>
      </c>
    </row>
    <row r="219" spans="1:16" x14ac:dyDescent="0.25">
      <c r="A219" s="40"/>
      <c r="B219" s="41"/>
      <c r="C219" s="40"/>
      <c r="D219" s="40" t="s">
        <v>47</v>
      </c>
      <c r="E219" s="41" t="s">
        <v>171</v>
      </c>
      <c r="F219" s="40"/>
      <c r="G219" s="39" t="s">
        <v>172</v>
      </c>
      <c r="H219" s="41"/>
      <c r="I219" s="40">
        <v>7</v>
      </c>
      <c r="J219" s="40"/>
      <c r="K219" s="43">
        <v>0.2</v>
      </c>
      <c r="L219" s="2"/>
      <c r="M219" s="2"/>
      <c r="P219" s="34" t="str">
        <f t="shared" si="5"/>
        <v/>
      </c>
    </row>
    <row r="220" spans="1:16" x14ac:dyDescent="0.25">
      <c r="A220" s="40"/>
      <c r="B220" s="41"/>
      <c r="C220" s="40"/>
      <c r="D220" s="40" t="s">
        <v>47</v>
      </c>
      <c r="E220" s="41" t="s">
        <v>173</v>
      </c>
      <c r="F220" s="40"/>
      <c r="G220" s="39" t="s">
        <v>174</v>
      </c>
      <c r="H220" s="41"/>
      <c r="I220" s="40">
        <v>7</v>
      </c>
      <c r="J220" s="40"/>
      <c r="K220" s="43">
        <v>0.2</v>
      </c>
      <c r="L220" s="2"/>
      <c r="M220" s="2"/>
      <c r="P220" s="34" t="str">
        <f t="shared" si="5"/>
        <v/>
      </c>
    </row>
    <row r="221" spans="1:16" x14ac:dyDescent="0.25">
      <c r="A221" s="40"/>
      <c r="B221" s="41"/>
      <c r="C221" s="40"/>
      <c r="D221" s="40" t="s">
        <v>47</v>
      </c>
      <c r="E221" s="41" t="s">
        <v>175</v>
      </c>
      <c r="F221" s="40"/>
      <c r="G221" s="39" t="s">
        <v>176</v>
      </c>
      <c r="H221" s="41"/>
      <c r="I221" s="40">
        <v>7</v>
      </c>
      <c r="J221" s="40"/>
      <c r="K221" s="43">
        <v>0.2</v>
      </c>
      <c r="L221" s="2"/>
      <c r="M221" s="2"/>
      <c r="P221" s="34" t="str">
        <f t="shared" si="5"/>
        <v/>
      </c>
    </row>
    <row r="222" spans="1:16" x14ac:dyDescent="0.25">
      <c r="A222" s="40"/>
      <c r="B222" s="41"/>
      <c r="C222" s="40"/>
      <c r="D222" s="40" t="s">
        <v>47</v>
      </c>
      <c r="E222" s="41" t="s">
        <v>177</v>
      </c>
      <c r="F222" s="40"/>
      <c r="G222" s="39" t="s">
        <v>178</v>
      </c>
      <c r="H222" s="41"/>
      <c r="I222" s="40">
        <v>7</v>
      </c>
      <c r="J222" s="40"/>
      <c r="K222" s="43">
        <v>0.2</v>
      </c>
      <c r="L222" s="2"/>
      <c r="M222" s="2"/>
      <c r="P222" s="34" t="str">
        <f t="shared" si="5"/>
        <v/>
      </c>
    </row>
    <row r="223" spans="1:16" x14ac:dyDescent="0.25">
      <c r="A223" s="40"/>
      <c r="B223" s="41"/>
      <c r="C223" s="40"/>
      <c r="D223" s="40" t="s">
        <v>47</v>
      </c>
      <c r="E223" s="41" t="s">
        <v>179</v>
      </c>
      <c r="F223" s="40"/>
      <c r="G223" s="39" t="s">
        <v>180</v>
      </c>
      <c r="H223" s="41"/>
      <c r="I223" s="40">
        <v>7</v>
      </c>
      <c r="J223" s="40"/>
      <c r="K223" s="43">
        <v>0.2</v>
      </c>
      <c r="L223" s="2"/>
      <c r="M223" s="2"/>
      <c r="P223" s="34" t="str">
        <f t="shared" si="5"/>
        <v/>
      </c>
    </row>
    <row r="224" spans="1:16" x14ac:dyDescent="0.25">
      <c r="A224" s="40"/>
      <c r="B224" s="41"/>
      <c r="C224" s="40"/>
      <c r="D224" s="40" t="s">
        <v>47</v>
      </c>
      <c r="E224" s="41" t="s">
        <v>181</v>
      </c>
      <c r="F224" s="40"/>
      <c r="G224" s="39" t="s">
        <v>182</v>
      </c>
      <c r="H224" s="41"/>
      <c r="I224" s="40">
        <v>7</v>
      </c>
      <c r="J224" s="40"/>
      <c r="K224" s="43">
        <v>0.2</v>
      </c>
      <c r="L224" s="2"/>
      <c r="M224" s="2"/>
      <c r="P224" s="34" t="str">
        <f t="shared" si="5"/>
        <v/>
      </c>
    </row>
    <row r="225" spans="1:16" x14ac:dyDescent="0.25">
      <c r="A225" s="40"/>
      <c r="B225" s="41"/>
      <c r="C225" s="40"/>
      <c r="D225" s="40" t="s">
        <v>47</v>
      </c>
      <c r="E225" s="41" t="s">
        <v>183</v>
      </c>
      <c r="F225" s="40"/>
      <c r="G225" s="39" t="s">
        <v>184</v>
      </c>
      <c r="H225" s="41"/>
      <c r="I225" s="40">
        <v>7</v>
      </c>
      <c r="J225" s="40"/>
      <c r="K225" s="43">
        <v>0.2</v>
      </c>
      <c r="L225" s="2"/>
      <c r="M225" s="2"/>
      <c r="P225" s="34" t="str">
        <f t="shared" si="5"/>
        <v/>
      </c>
    </row>
    <row r="226" spans="1:16" x14ac:dyDescent="0.25">
      <c r="A226" s="40"/>
      <c r="B226" s="41"/>
      <c r="C226" s="40"/>
      <c r="D226" s="40" t="s">
        <v>47</v>
      </c>
      <c r="E226" s="41" t="s">
        <v>185</v>
      </c>
      <c r="F226" s="40"/>
      <c r="G226" s="39" t="s">
        <v>186</v>
      </c>
      <c r="H226" s="41"/>
      <c r="I226" s="40">
        <v>7</v>
      </c>
      <c r="J226" s="40"/>
      <c r="K226" s="43">
        <v>0.2</v>
      </c>
      <c r="L226" s="2"/>
      <c r="M226" s="2"/>
      <c r="P226" s="34" t="str">
        <f t="shared" si="5"/>
        <v/>
      </c>
    </row>
    <row r="227" spans="1:16" x14ac:dyDescent="0.25">
      <c r="A227" s="40"/>
      <c r="B227" s="41"/>
      <c r="C227" s="40"/>
      <c r="D227" s="40" t="s">
        <v>47</v>
      </c>
      <c r="E227" s="41" t="s">
        <v>187</v>
      </c>
      <c r="F227" s="40"/>
      <c r="G227" s="39" t="s">
        <v>188</v>
      </c>
      <c r="H227" s="41"/>
      <c r="I227" s="40">
        <v>7</v>
      </c>
      <c r="J227" s="40"/>
      <c r="K227" s="43">
        <v>0.2</v>
      </c>
      <c r="L227" s="2"/>
      <c r="M227" s="2"/>
      <c r="P227" s="34" t="str">
        <f t="shared" si="5"/>
        <v/>
      </c>
    </row>
    <row r="228" spans="1:16" x14ac:dyDescent="0.25">
      <c r="A228" s="40"/>
      <c r="B228" s="41"/>
      <c r="C228" s="40"/>
      <c r="D228" s="40" t="s">
        <v>47</v>
      </c>
      <c r="E228" s="41" t="s">
        <v>189</v>
      </c>
      <c r="F228" s="40"/>
      <c r="G228" s="39" t="s">
        <v>190</v>
      </c>
      <c r="H228" s="41"/>
      <c r="I228" s="40">
        <v>7</v>
      </c>
      <c r="J228" s="40"/>
      <c r="K228" s="43">
        <v>0.2</v>
      </c>
      <c r="L228" s="2"/>
      <c r="M228" s="2"/>
      <c r="P228" s="34" t="str">
        <f t="shared" si="5"/>
        <v/>
      </c>
    </row>
    <row r="229" spans="1:16" x14ac:dyDescent="0.25">
      <c r="A229" s="40"/>
      <c r="B229" s="41"/>
      <c r="C229" s="40"/>
      <c r="D229" s="40" t="s">
        <v>47</v>
      </c>
      <c r="E229" s="41" t="s">
        <v>191</v>
      </c>
      <c r="F229" s="40"/>
      <c r="G229" s="39" t="s">
        <v>192</v>
      </c>
      <c r="H229" s="41"/>
      <c r="I229" s="40">
        <v>7</v>
      </c>
      <c r="J229" s="40"/>
      <c r="K229" s="43">
        <v>0.2</v>
      </c>
      <c r="L229" s="2"/>
      <c r="M229" s="2"/>
      <c r="P229" s="34" t="str">
        <f t="shared" si="5"/>
        <v/>
      </c>
    </row>
    <row r="230" spans="1:16" x14ac:dyDescent="0.25">
      <c r="A230" s="40"/>
      <c r="B230" s="41"/>
      <c r="C230" s="40"/>
      <c r="D230" s="40" t="s">
        <v>47</v>
      </c>
      <c r="E230" s="41" t="s">
        <v>193</v>
      </c>
      <c r="F230" s="40"/>
      <c r="G230" s="39" t="s">
        <v>194</v>
      </c>
      <c r="H230" s="41"/>
      <c r="I230" s="40">
        <v>7</v>
      </c>
      <c r="J230" s="40"/>
      <c r="K230" s="43">
        <v>0.2</v>
      </c>
      <c r="L230" s="2"/>
      <c r="M230" s="2"/>
      <c r="P230" s="34" t="str">
        <f t="shared" si="5"/>
        <v/>
      </c>
    </row>
    <row r="231" spans="1:16" x14ac:dyDescent="0.25">
      <c r="A231" s="40"/>
      <c r="B231" s="41"/>
      <c r="C231" s="40"/>
      <c r="D231" s="40" t="s">
        <v>47</v>
      </c>
      <c r="E231" s="41" t="s">
        <v>195</v>
      </c>
      <c r="F231" s="40"/>
      <c r="G231" s="39" t="s">
        <v>196</v>
      </c>
      <c r="H231" s="41"/>
      <c r="I231" s="40">
        <v>7</v>
      </c>
      <c r="J231" s="40"/>
      <c r="K231" s="43">
        <v>0.2</v>
      </c>
      <c r="L231" s="2"/>
      <c r="M231" s="2"/>
      <c r="P231" s="34" t="str">
        <f t="shared" si="5"/>
        <v/>
      </c>
    </row>
    <row r="232" spans="1:16" x14ac:dyDescent="0.25">
      <c r="A232" s="40"/>
      <c r="B232" s="41"/>
      <c r="C232" s="40"/>
      <c r="D232" s="40" t="s">
        <v>47</v>
      </c>
      <c r="E232" s="41" t="s">
        <v>197</v>
      </c>
      <c r="F232" s="40"/>
      <c r="G232" s="39" t="s">
        <v>198</v>
      </c>
      <c r="H232" s="41"/>
      <c r="I232" s="40">
        <v>7</v>
      </c>
      <c r="J232" s="40"/>
      <c r="K232" s="43">
        <v>0.2</v>
      </c>
      <c r="L232" s="2"/>
      <c r="M232" s="2"/>
      <c r="P232" s="34" t="str">
        <f t="shared" si="5"/>
        <v/>
      </c>
    </row>
    <row r="233" spans="1:16" x14ac:dyDescent="0.25">
      <c r="A233" s="40"/>
      <c r="B233" s="41"/>
      <c r="C233" s="40"/>
      <c r="D233" s="40" t="s">
        <v>47</v>
      </c>
      <c r="E233" s="41" t="s">
        <v>199</v>
      </c>
      <c r="F233" s="40"/>
      <c r="G233" s="39" t="s">
        <v>200</v>
      </c>
      <c r="H233" s="41"/>
      <c r="I233" s="40">
        <v>7</v>
      </c>
      <c r="J233" s="40"/>
      <c r="K233" s="43">
        <v>0.2</v>
      </c>
      <c r="L233" s="2"/>
      <c r="M233" s="2"/>
      <c r="P233" s="34" t="str">
        <f t="shared" si="5"/>
        <v/>
      </c>
    </row>
    <row r="234" spans="1:16" x14ac:dyDescent="0.25">
      <c r="A234" s="40"/>
      <c r="B234" s="41"/>
      <c r="C234" s="40"/>
      <c r="D234" s="40" t="s">
        <v>47</v>
      </c>
      <c r="E234" s="41" t="s">
        <v>201</v>
      </c>
      <c r="F234" s="40"/>
      <c r="G234" s="39" t="s">
        <v>202</v>
      </c>
      <c r="H234" s="41"/>
      <c r="I234" s="40">
        <v>7</v>
      </c>
      <c r="J234" s="40"/>
      <c r="K234" s="43">
        <v>0.2</v>
      </c>
      <c r="L234" s="2"/>
      <c r="M234" s="2"/>
      <c r="P234" s="34" t="str">
        <f t="shared" si="5"/>
        <v/>
      </c>
    </row>
    <row r="235" spans="1:16" x14ac:dyDescent="0.25">
      <c r="A235" s="40"/>
      <c r="B235" s="41"/>
      <c r="C235" s="40"/>
      <c r="D235" s="40" t="s">
        <v>47</v>
      </c>
      <c r="E235" s="41" t="s">
        <v>203</v>
      </c>
      <c r="F235" s="40"/>
      <c r="G235" s="39" t="s">
        <v>204</v>
      </c>
      <c r="H235" s="41"/>
      <c r="I235" s="40">
        <v>7</v>
      </c>
      <c r="J235" s="40"/>
      <c r="K235" s="43">
        <v>0.2</v>
      </c>
      <c r="L235" s="2"/>
      <c r="M235" s="2"/>
      <c r="P235" s="34" t="str">
        <f t="shared" si="5"/>
        <v/>
      </c>
    </row>
    <row r="236" spans="1:16" x14ac:dyDescent="0.25">
      <c r="A236" s="40"/>
      <c r="B236" s="41"/>
      <c r="C236" s="40"/>
      <c r="D236" s="40" t="s">
        <v>47</v>
      </c>
      <c r="E236" s="41" t="s">
        <v>205</v>
      </c>
      <c r="F236" s="40"/>
      <c r="G236" s="39" t="s">
        <v>206</v>
      </c>
      <c r="H236" s="41"/>
      <c r="I236" s="40">
        <v>7</v>
      </c>
      <c r="J236" s="40"/>
      <c r="K236" s="43">
        <v>0.2</v>
      </c>
      <c r="L236" s="2"/>
      <c r="M236" s="2"/>
      <c r="P236" s="34" t="str">
        <f t="shared" si="5"/>
        <v/>
      </c>
    </row>
    <row r="237" spans="1:16" x14ac:dyDescent="0.25">
      <c r="A237" s="40"/>
      <c r="B237" s="41"/>
      <c r="C237" s="40"/>
      <c r="D237" s="40" t="s">
        <v>47</v>
      </c>
      <c r="E237" s="41" t="s">
        <v>207</v>
      </c>
      <c r="F237" s="40"/>
      <c r="G237" s="39" t="s">
        <v>208</v>
      </c>
      <c r="H237" s="41"/>
      <c r="I237" s="40">
        <v>7</v>
      </c>
      <c r="J237" s="40"/>
      <c r="K237" s="43">
        <v>0.2</v>
      </c>
      <c r="L237" s="2"/>
      <c r="M237" s="2"/>
      <c r="P237" s="34" t="str">
        <f t="shared" si="5"/>
        <v/>
      </c>
    </row>
    <row r="238" spans="1:16" x14ac:dyDescent="0.25">
      <c r="A238" s="40"/>
      <c r="B238" s="41"/>
      <c r="C238" s="40"/>
      <c r="D238" s="40" t="s">
        <v>47</v>
      </c>
      <c r="E238" s="41" t="s">
        <v>209</v>
      </c>
      <c r="F238" s="40"/>
      <c r="G238" s="39" t="s">
        <v>210</v>
      </c>
      <c r="H238" s="41"/>
      <c r="I238" s="40">
        <v>7</v>
      </c>
      <c r="J238" s="40"/>
      <c r="K238" s="43">
        <v>0.2</v>
      </c>
      <c r="L238" s="2"/>
      <c r="M238" s="2"/>
      <c r="P238" s="34" t="str">
        <f t="shared" si="5"/>
        <v/>
      </c>
    </row>
    <row r="239" spans="1:16" x14ac:dyDescent="0.25">
      <c r="A239" s="40"/>
      <c r="B239" s="41"/>
      <c r="C239" s="40"/>
      <c r="D239" s="40" t="s">
        <v>47</v>
      </c>
      <c r="E239" s="41" t="s">
        <v>211</v>
      </c>
      <c r="F239" s="40"/>
      <c r="G239" s="39" t="s">
        <v>212</v>
      </c>
      <c r="H239" s="41"/>
      <c r="I239" s="40">
        <v>7</v>
      </c>
      <c r="J239" s="40"/>
      <c r="K239" s="43">
        <v>0.2</v>
      </c>
      <c r="L239" s="2"/>
      <c r="M239" s="2"/>
      <c r="P239" s="34" t="str">
        <f t="shared" si="5"/>
        <v/>
      </c>
    </row>
    <row r="240" spans="1:16" x14ac:dyDescent="0.25">
      <c r="A240" s="40"/>
      <c r="B240" s="41"/>
      <c r="C240" s="40"/>
      <c r="D240" s="40" t="s">
        <v>47</v>
      </c>
      <c r="E240" s="41" t="s">
        <v>213</v>
      </c>
      <c r="F240" s="40"/>
      <c r="G240" s="39" t="s">
        <v>214</v>
      </c>
      <c r="H240" s="41"/>
      <c r="I240" s="40">
        <v>7</v>
      </c>
      <c r="J240" s="40"/>
      <c r="K240" s="43">
        <v>0.2</v>
      </c>
      <c r="L240" s="2"/>
      <c r="M240" s="2"/>
      <c r="P240" s="34" t="str">
        <f t="shared" si="5"/>
        <v/>
      </c>
    </row>
    <row r="241" spans="1:16" ht="26.4" x14ac:dyDescent="0.25">
      <c r="A241" s="40"/>
      <c r="B241" s="41"/>
      <c r="C241" s="40"/>
      <c r="D241" s="40" t="s">
        <v>47</v>
      </c>
      <c r="E241" s="41" t="s">
        <v>215</v>
      </c>
      <c r="F241" s="40"/>
      <c r="G241" s="39" t="s">
        <v>216</v>
      </c>
      <c r="H241" s="41"/>
      <c r="I241" s="40">
        <v>7</v>
      </c>
      <c r="J241" s="40"/>
      <c r="K241" s="43">
        <v>0.2</v>
      </c>
      <c r="L241" s="2"/>
      <c r="M241" s="2"/>
      <c r="P241" s="34" t="str">
        <f t="shared" si="5"/>
        <v/>
      </c>
    </row>
    <row r="242" spans="1:16" x14ac:dyDescent="0.25">
      <c r="A242" s="40"/>
      <c r="B242" s="41"/>
      <c r="C242" s="40"/>
      <c r="D242" s="40" t="s">
        <v>47</v>
      </c>
      <c r="E242" s="41" t="s">
        <v>217</v>
      </c>
      <c r="F242" s="40"/>
      <c r="G242" s="39" t="s">
        <v>218</v>
      </c>
      <c r="H242" s="41"/>
      <c r="I242" s="40">
        <v>7</v>
      </c>
      <c r="J242" s="40"/>
      <c r="K242" s="43">
        <v>0.2</v>
      </c>
      <c r="L242" s="2"/>
      <c r="M242" s="2"/>
      <c r="P242" s="34" t="str">
        <f t="shared" si="5"/>
        <v/>
      </c>
    </row>
    <row r="243" spans="1:16" x14ac:dyDescent="0.25">
      <c r="A243" s="40"/>
      <c r="B243" s="41"/>
      <c r="C243" s="40"/>
      <c r="D243" s="40" t="s">
        <v>47</v>
      </c>
      <c r="E243" s="41" t="s">
        <v>219</v>
      </c>
      <c r="F243" s="40"/>
      <c r="G243" s="39" t="s">
        <v>220</v>
      </c>
      <c r="H243" s="41"/>
      <c r="I243" s="40">
        <v>7</v>
      </c>
      <c r="J243" s="40"/>
      <c r="K243" s="43">
        <v>0.2</v>
      </c>
      <c r="L243" s="2"/>
      <c r="M243" s="2"/>
      <c r="P243" s="34" t="str">
        <f t="shared" si="5"/>
        <v/>
      </c>
    </row>
    <row r="244" spans="1:16" x14ac:dyDescent="0.25">
      <c r="A244" s="40"/>
      <c r="B244" s="41"/>
      <c r="C244" s="40"/>
      <c r="D244" s="40" t="s">
        <v>47</v>
      </c>
      <c r="E244" s="41" t="s">
        <v>221</v>
      </c>
      <c r="F244" s="40"/>
      <c r="G244" s="39" t="s">
        <v>222</v>
      </c>
      <c r="H244" s="41"/>
      <c r="I244" s="40">
        <v>7</v>
      </c>
      <c r="J244" s="40"/>
      <c r="K244" s="43">
        <v>0.2</v>
      </c>
      <c r="L244" s="2"/>
      <c r="M244" s="2"/>
      <c r="P244" s="34" t="str">
        <f t="shared" si="5"/>
        <v/>
      </c>
    </row>
    <row r="245" spans="1:16" x14ac:dyDescent="0.25">
      <c r="A245" s="40"/>
      <c r="B245" s="41"/>
      <c r="C245" s="40"/>
      <c r="D245" s="40" t="s">
        <v>47</v>
      </c>
      <c r="E245" s="41" t="s">
        <v>223</v>
      </c>
      <c r="F245" s="40"/>
      <c r="G245" s="39" t="s">
        <v>224</v>
      </c>
      <c r="H245" s="41"/>
      <c r="I245" s="40">
        <v>7</v>
      </c>
      <c r="J245" s="40"/>
      <c r="K245" s="43">
        <v>0.2</v>
      </c>
      <c r="L245" s="2"/>
      <c r="M245" s="2"/>
      <c r="P245" s="34" t="str">
        <f t="shared" si="5"/>
        <v/>
      </c>
    </row>
    <row r="246" spans="1:16" x14ac:dyDescent="0.25">
      <c r="A246" s="40"/>
      <c r="B246" s="41"/>
      <c r="C246" s="40"/>
      <c r="D246" s="40" t="s">
        <v>47</v>
      </c>
      <c r="E246" s="41" t="s">
        <v>225</v>
      </c>
      <c r="F246" s="40"/>
      <c r="G246" s="39" t="s">
        <v>226</v>
      </c>
      <c r="H246" s="41"/>
      <c r="I246" s="40">
        <v>7</v>
      </c>
      <c r="J246" s="40"/>
      <c r="K246" s="43">
        <v>0.2</v>
      </c>
      <c r="L246" s="2"/>
      <c r="M246" s="2"/>
      <c r="P246" s="34" t="str">
        <f t="shared" si="5"/>
        <v/>
      </c>
    </row>
    <row r="247" spans="1:16" x14ac:dyDescent="0.25">
      <c r="A247" s="40"/>
      <c r="B247" s="41"/>
      <c r="C247" s="40"/>
      <c r="D247" s="40" t="s">
        <v>47</v>
      </c>
      <c r="E247" s="41" t="s">
        <v>227</v>
      </c>
      <c r="F247" s="40"/>
      <c r="G247" s="39" t="s">
        <v>228</v>
      </c>
      <c r="H247" s="41"/>
      <c r="I247" s="40">
        <v>7</v>
      </c>
      <c r="J247" s="40"/>
      <c r="K247" s="43">
        <v>0.2</v>
      </c>
      <c r="L247" s="2"/>
      <c r="M247" s="2"/>
      <c r="P247" s="34" t="str">
        <f t="shared" si="5"/>
        <v/>
      </c>
    </row>
    <row r="248" spans="1:16" x14ac:dyDescent="0.25">
      <c r="A248" s="40"/>
      <c r="B248" s="41"/>
      <c r="C248" s="40"/>
      <c r="D248" s="40" t="s">
        <v>47</v>
      </c>
      <c r="E248" s="41" t="s">
        <v>229</v>
      </c>
      <c r="F248" s="40"/>
      <c r="G248" s="39" t="s">
        <v>230</v>
      </c>
      <c r="H248" s="41"/>
      <c r="I248" s="40">
        <v>7</v>
      </c>
      <c r="J248" s="40"/>
      <c r="K248" s="43">
        <v>0.2</v>
      </c>
      <c r="L248" s="2"/>
      <c r="M248" s="2"/>
      <c r="P248" s="34" t="str">
        <f t="shared" si="5"/>
        <v/>
      </c>
    </row>
    <row r="249" spans="1:16" x14ac:dyDescent="0.25">
      <c r="A249" s="40"/>
      <c r="B249" s="41"/>
      <c r="C249" s="40"/>
      <c r="D249" s="40" t="s">
        <v>47</v>
      </c>
      <c r="E249" s="41" t="s">
        <v>231</v>
      </c>
      <c r="F249" s="40"/>
      <c r="G249" s="39" t="s">
        <v>232</v>
      </c>
      <c r="H249" s="41"/>
      <c r="I249" s="40">
        <v>7</v>
      </c>
      <c r="J249" s="40"/>
      <c r="K249" s="43">
        <v>0.2</v>
      </c>
      <c r="L249" s="2"/>
      <c r="M249" s="2"/>
      <c r="P249" s="34" t="str">
        <f t="shared" si="5"/>
        <v/>
      </c>
    </row>
    <row r="250" spans="1:16" x14ac:dyDescent="0.25">
      <c r="A250" s="40"/>
      <c r="B250" s="41"/>
      <c r="C250" s="40"/>
      <c r="D250" s="40" t="s">
        <v>47</v>
      </c>
      <c r="E250" s="41" t="s">
        <v>233</v>
      </c>
      <c r="F250" s="40"/>
      <c r="G250" s="39" t="s">
        <v>234</v>
      </c>
      <c r="H250" s="41"/>
      <c r="I250" s="40">
        <v>7</v>
      </c>
      <c r="J250" s="40"/>
      <c r="K250" s="43">
        <v>0.2</v>
      </c>
      <c r="L250" s="2"/>
      <c r="M250" s="2"/>
      <c r="P250" s="34" t="str">
        <f t="shared" si="5"/>
        <v/>
      </c>
    </row>
    <row r="251" spans="1:16" x14ac:dyDescent="0.25">
      <c r="A251" s="40"/>
      <c r="B251" s="41"/>
      <c r="C251" s="40"/>
      <c r="D251" s="40" t="s">
        <v>47</v>
      </c>
      <c r="E251" s="41" t="s">
        <v>235</v>
      </c>
      <c r="F251" s="40"/>
      <c r="G251" s="39" t="s">
        <v>236</v>
      </c>
      <c r="H251" s="41"/>
      <c r="I251" s="40">
        <v>7</v>
      </c>
      <c r="J251" s="40"/>
      <c r="K251" s="43">
        <v>0.2</v>
      </c>
      <c r="L251" s="2"/>
      <c r="M251" s="2"/>
      <c r="P251" s="34" t="str">
        <f t="shared" si="5"/>
        <v/>
      </c>
    </row>
    <row r="252" spans="1:16" x14ac:dyDescent="0.25">
      <c r="A252" s="40"/>
      <c r="B252" s="41"/>
      <c r="C252" s="40"/>
      <c r="D252" s="40" t="s">
        <v>47</v>
      </c>
      <c r="E252" s="41" t="s">
        <v>237</v>
      </c>
      <c r="F252" s="40"/>
      <c r="G252" s="39" t="s">
        <v>238</v>
      </c>
      <c r="H252" s="41"/>
      <c r="I252" s="40">
        <v>7</v>
      </c>
      <c r="J252" s="40"/>
      <c r="K252" s="43">
        <v>0.2</v>
      </c>
      <c r="L252" s="2"/>
      <c r="M252" s="2"/>
      <c r="P252" s="34" t="str">
        <f t="shared" si="5"/>
        <v/>
      </c>
    </row>
    <row r="253" spans="1:16" x14ac:dyDescent="0.25">
      <c r="A253" s="40"/>
      <c r="B253" s="41"/>
      <c r="C253" s="40"/>
      <c r="D253" s="40" t="s">
        <v>47</v>
      </c>
      <c r="E253" s="41" t="s">
        <v>239</v>
      </c>
      <c r="F253" s="40"/>
      <c r="G253" s="39" t="s">
        <v>240</v>
      </c>
      <c r="H253" s="41"/>
      <c r="I253" s="40">
        <v>7</v>
      </c>
      <c r="J253" s="40"/>
      <c r="K253" s="43">
        <v>0.2</v>
      </c>
      <c r="L253" s="2"/>
      <c r="M253" s="2"/>
      <c r="P253" s="34" t="str">
        <f t="shared" si="5"/>
        <v/>
      </c>
    </row>
    <row r="254" spans="1:16" x14ac:dyDescent="0.25">
      <c r="A254" s="40"/>
      <c r="B254" s="41"/>
      <c r="C254" s="40"/>
      <c r="D254" s="40" t="s">
        <v>47</v>
      </c>
      <c r="E254" s="41" t="s">
        <v>241</v>
      </c>
      <c r="F254" s="40"/>
      <c r="G254" s="39" t="s">
        <v>242</v>
      </c>
      <c r="H254" s="41"/>
      <c r="I254" s="40">
        <v>7</v>
      </c>
      <c r="J254" s="40"/>
      <c r="K254" s="43">
        <v>0.2</v>
      </c>
      <c r="L254" s="2"/>
      <c r="M254" s="2"/>
      <c r="P254" s="34" t="str">
        <f t="shared" si="5"/>
        <v/>
      </c>
    </row>
    <row r="255" spans="1:16" x14ac:dyDescent="0.25">
      <c r="A255" s="40"/>
      <c r="B255" s="41"/>
      <c r="C255" s="40"/>
      <c r="D255" s="40" t="s">
        <v>47</v>
      </c>
      <c r="E255" s="41" t="s">
        <v>243</v>
      </c>
      <c r="F255" s="40"/>
      <c r="G255" s="39" t="s">
        <v>244</v>
      </c>
      <c r="H255" s="41"/>
      <c r="I255" s="40">
        <v>7</v>
      </c>
      <c r="J255" s="40"/>
      <c r="K255" s="43">
        <v>0.2</v>
      </c>
      <c r="L255" s="2"/>
      <c r="M255" s="2"/>
      <c r="P255" s="34" t="str">
        <f t="shared" si="5"/>
        <v/>
      </c>
    </row>
    <row r="256" spans="1:16" x14ac:dyDescent="0.25">
      <c r="A256" s="40"/>
      <c r="B256" s="41"/>
      <c r="C256" s="40"/>
      <c r="D256" s="40" t="s">
        <v>47</v>
      </c>
      <c r="E256" s="41" t="s">
        <v>245</v>
      </c>
      <c r="F256" s="40"/>
      <c r="G256" s="39" t="s">
        <v>246</v>
      </c>
      <c r="H256" s="41"/>
      <c r="I256" s="40">
        <v>7</v>
      </c>
      <c r="J256" s="40"/>
      <c r="K256" s="43">
        <v>0.2</v>
      </c>
      <c r="L256" s="2"/>
      <c r="M256" s="2"/>
      <c r="P256" s="34" t="str">
        <f t="shared" si="5"/>
        <v/>
      </c>
    </row>
    <row r="257" spans="1:16" x14ac:dyDescent="0.25">
      <c r="A257" s="40"/>
      <c r="B257" s="41"/>
      <c r="C257" s="40"/>
      <c r="D257" s="40" t="s">
        <v>47</v>
      </c>
      <c r="E257" s="41" t="s">
        <v>247</v>
      </c>
      <c r="F257" s="40"/>
      <c r="G257" s="39" t="s">
        <v>248</v>
      </c>
      <c r="H257" s="41"/>
      <c r="I257" s="40">
        <v>7</v>
      </c>
      <c r="J257" s="40"/>
      <c r="K257" s="43">
        <v>0.2</v>
      </c>
      <c r="L257" s="2"/>
      <c r="M257" s="2"/>
      <c r="P257" s="34" t="str">
        <f t="shared" si="5"/>
        <v/>
      </c>
    </row>
    <row r="258" spans="1:16" x14ac:dyDescent="0.25">
      <c r="A258" s="40"/>
      <c r="B258" s="41"/>
      <c r="C258" s="40"/>
      <c r="D258" s="40" t="s">
        <v>47</v>
      </c>
      <c r="E258" s="41" t="s">
        <v>249</v>
      </c>
      <c r="F258" s="40"/>
      <c r="G258" s="39" t="s">
        <v>250</v>
      </c>
      <c r="H258" s="41"/>
      <c r="I258" s="40">
        <v>7</v>
      </c>
      <c r="J258" s="40"/>
      <c r="K258" s="43">
        <v>0.2</v>
      </c>
      <c r="L258" s="2"/>
      <c r="M258" s="2"/>
      <c r="P258" s="34" t="str">
        <f t="shared" si="5"/>
        <v/>
      </c>
    </row>
    <row r="259" spans="1:16" x14ac:dyDescent="0.25">
      <c r="A259" s="40" t="s">
        <v>46</v>
      </c>
      <c r="B259" s="41" t="s">
        <v>46</v>
      </c>
      <c r="C259" s="40" t="s">
        <v>46</v>
      </c>
      <c r="D259" s="40" t="s">
        <v>47</v>
      </c>
      <c r="E259" s="41" t="s">
        <v>251</v>
      </c>
      <c r="F259" s="40" t="s">
        <v>46</v>
      </c>
      <c r="G259" s="41" t="s">
        <v>431</v>
      </c>
      <c r="H259" s="41"/>
      <c r="I259" s="40">
        <v>4</v>
      </c>
      <c r="J259" s="40"/>
      <c r="K259" s="43">
        <v>1</v>
      </c>
      <c r="L259" s="2"/>
      <c r="M259" s="2"/>
      <c r="P259" s="34" t="str">
        <f t="shared" si="5"/>
        <v/>
      </c>
    </row>
    <row r="260" spans="1:16" x14ac:dyDescent="0.25">
      <c r="A260" s="40"/>
      <c r="B260" s="41"/>
      <c r="C260" s="40"/>
      <c r="D260" s="40" t="s">
        <v>49</v>
      </c>
      <c r="E260" s="41" t="s">
        <v>252</v>
      </c>
      <c r="F260" s="40" t="s">
        <v>46</v>
      </c>
      <c r="G260" s="41" t="s">
        <v>46</v>
      </c>
      <c r="H260" s="41" t="s">
        <v>46</v>
      </c>
      <c r="I260" s="40">
        <v>4</v>
      </c>
      <c r="J260" s="40"/>
      <c r="K260" s="43">
        <v>1</v>
      </c>
      <c r="L260" s="2"/>
      <c r="M260" s="2"/>
      <c r="P260" s="34" t="str">
        <f t="shared" si="5"/>
        <v/>
      </c>
    </row>
    <row r="261" spans="1:16" ht="26.4" x14ac:dyDescent="0.25">
      <c r="A261" s="40"/>
      <c r="B261" s="41"/>
      <c r="C261" s="40"/>
      <c r="D261" s="40" t="s">
        <v>46</v>
      </c>
      <c r="E261" s="41" t="s">
        <v>46</v>
      </c>
      <c r="F261" s="40">
        <v>0</v>
      </c>
      <c r="G261" s="39" t="s">
        <v>253</v>
      </c>
      <c r="H261" s="41" t="s">
        <v>46</v>
      </c>
      <c r="I261" s="40"/>
      <c r="J261" s="40"/>
      <c r="K261" s="43"/>
      <c r="L261" s="2"/>
      <c r="P261" s="34" t="str">
        <f t="shared" si="5"/>
        <v/>
      </c>
    </row>
    <row r="262" spans="1:16" ht="26.4" x14ac:dyDescent="0.25">
      <c r="A262" s="40"/>
      <c r="B262" s="41"/>
      <c r="C262" s="40"/>
      <c r="D262" s="40" t="s">
        <v>46</v>
      </c>
      <c r="E262" s="41" t="s">
        <v>46</v>
      </c>
      <c r="F262" s="40">
        <v>1</v>
      </c>
      <c r="G262" s="39" t="s">
        <v>254</v>
      </c>
      <c r="H262" s="41" t="s">
        <v>46</v>
      </c>
      <c r="I262" s="40"/>
      <c r="J262" s="40"/>
      <c r="K262" s="43"/>
      <c r="L262" s="2"/>
      <c r="M262" s="2"/>
      <c r="P262" s="34" t="str">
        <f t="shared" si="5"/>
        <v/>
      </c>
    </row>
    <row r="263" spans="1:16" x14ac:dyDescent="0.25">
      <c r="A263" s="40"/>
      <c r="B263" s="41"/>
      <c r="C263" s="40"/>
      <c r="D263" s="40" t="s">
        <v>46</v>
      </c>
      <c r="E263" s="41" t="s">
        <v>46</v>
      </c>
      <c r="F263" s="40">
        <v>2</v>
      </c>
      <c r="G263" s="41" t="s">
        <v>255</v>
      </c>
      <c r="H263" s="41" t="s">
        <v>46</v>
      </c>
      <c r="I263" s="40"/>
      <c r="J263" s="40"/>
      <c r="K263" s="43"/>
      <c r="L263" s="2"/>
      <c r="P263" s="34" t="str">
        <f t="shared" si="5"/>
        <v/>
      </c>
    </row>
    <row r="264" spans="1:16" x14ac:dyDescent="0.25">
      <c r="A264" s="40"/>
      <c r="B264" s="41"/>
      <c r="C264" s="40"/>
      <c r="D264" s="40" t="s">
        <v>46</v>
      </c>
      <c r="E264" s="41" t="s">
        <v>46</v>
      </c>
      <c r="F264" s="40">
        <v>3</v>
      </c>
      <c r="G264" s="41" t="s">
        <v>256</v>
      </c>
      <c r="H264" s="41" t="s">
        <v>46</v>
      </c>
      <c r="I264" s="40"/>
      <c r="J264" s="40"/>
      <c r="K264" s="43"/>
      <c r="L264" s="2"/>
      <c r="P264" s="34" t="str">
        <f t="shared" si="5"/>
        <v/>
      </c>
    </row>
    <row r="265" spans="1:16" x14ac:dyDescent="0.25">
      <c r="A265" s="12" t="s">
        <v>46</v>
      </c>
      <c r="B265" s="15"/>
      <c r="C265" s="12"/>
      <c r="D265" s="12"/>
      <c r="E265" s="15"/>
      <c r="F265" s="12"/>
      <c r="G265" s="31"/>
      <c r="H265" s="15"/>
      <c r="I265" s="12"/>
      <c r="J265" s="12"/>
      <c r="K265" s="16"/>
      <c r="L265" s="2"/>
      <c r="P265" s="34" t="str">
        <f t="shared" si="5"/>
        <v/>
      </c>
    </row>
    <row r="266" spans="1:16" x14ac:dyDescent="0.25">
      <c r="A266" s="12" t="s">
        <v>46</v>
      </c>
      <c r="B266" s="15" t="s">
        <v>46</v>
      </c>
      <c r="C266" s="12" t="s">
        <v>46</v>
      </c>
      <c r="D266" s="12" t="s">
        <v>46</v>
      </c>
      <c r="E266" s="15" t="s">
        <v>46</v>
      </c>
      <c r="F266" s="12" t="s">
        <v>46</v>
      </c>
      <c r="G266" s="31" t="s">
        <v>46</v>
      </c>
      <c r="H266" s="15" t="s">
        <v>46</v>
      </c>
      <c r="I266" s="12"/>
      <c r="J266" s="12"/>
      <c r="K266" s="16"/>
      <c r="L266" s="2"/>
    </row>
    <row r="267" spans="1:16" ht="13.8" thickBot="1" x14ac:dyDescent="0.3">
      <c r="A267" s="17" t="s">
        <v>46</v>
      </c>
      <c r="B267" s="17" t="s">
        <v>46</v>
      </c>
      <c r="C267" s="17" t="s">
        <v>46</v>
      </c>
      <c r="D267" s="17" t="s">
        <v>46</v>
      </c>
      <c r="E267" s="17" t="s">
        <v>46</v>
      </c>
      <c r="F267" s="17" t="s">
        <v>46</v>
      </c>
      <c r="G267" s="32" t="s">
        <v>46</v>
      </c>
      <c r="H267" s="17" t="s">
        <v>46</v>
      </c>
      <c r="I267" s="17" t="s">
        <v>46</v>
      </c>
      <c r="J267" s="17" t="s">
        <v>46</v>
      </c>
      <c r="K267" s="38" t="s">
        <v>46</v>
      </c>
      <c r="L267" s="2" t="str">
        <f t="shared" ref="L267" si="6">K267</f>
        <v/>
      </c>
    </row>
    <row r="270" spans="1:16" ht="40.799999999999997" x14ac:dyDescent="0.25">
      <c r="L270" s="4" t="s">
        <v>56</v>
      </c>
      <c r="M270" s="5" t="s">
        <v>43</v>
      </c>
      <c r="N270" s="6">
        <f>SUM(N1:N268)</f>
        <v>99.999999999999972</v>
      </c>
    </row>
  </sheetData>
  <mergeCells count="28">
    <mergeCell ref="L48:L49"/>
    <mergeCell ref="L30:L34"/>
    <mergeCell ref="L35:L36"/>
    <mergeCell ref="L37:L43"/>
    <mergeCell ref="L44:L45"/>
    <mergeCell ref="L46:L47"/>
    <mergeCell ref="B22:J22"/>
    <mergeCell ref="B23:J23"/>
    <mergeCell ref="B24:J24"/>
    <mergeCell ref="B25:J25"/>
    <mergeCell ref="B17:J17"/>
    <mergeCell ref="B18:J18"/>
    <mergeCell ref="B19:J19"/>
    <mergeCell ref="B20:J20"/>
    <mergeCell ref="B21:J21"/>
    <mergeCell ref="B7:H7"/>
    <mergeCell ref="B8:H8"/>
    <mergeCell ref="B9:H9"/>
    <mergeCell ref="A15:K15"/>
    <mergeCell ref="B16:J16"/>
    <mergeCell ref="I12:J12"/>
    <mergeCell ref="B11:H11"/>
    <mergeCell ref="B10:H10"/>
    <mergeCell ref="B4:H4"/>
    <mergeCell ref="A3:K3"/>
    <mergeCell ref="A1:K1"/>
    <mergeCell ref="B5:H5"/>
    <mergeCell ref="B6:H6"/>
  </mergeCells>
  <phoneticPr fontId="1" type="noConversion"/>
  <conditionalFormatting sqref="K101:K102">
    <cfRule type="cellIs" dxfId="2" priority="3" operator="greaterThan">
      <formula>2</formula>
    </cfRule>
  </conditionalFormatting>
  <conditionalFormatting sqref="K111:K112">
    <cfRule type="cellIs" dxfId="1" priority="2" operator="equal">
      <formula>6</formula>
    </cfRule>
  </conditionalFormatting>
  <conditionalFormatting sqref="K261:K264">
    <cfRule type="cellIs" dxfId="0" priority="1" operator="greaterThan">
      <formula>2</formula>
    </cfRule>
  </conditionalFormatting>
  <pageMargins left="0.39000000000000007" right="0.39000000000000007" top="0.87" bottom="0.59" header="0.2" footer="0.2"/>
  <pageSetup paperSize="9" orientation="landscape" r:id="rId1"/>
  <headerFooter>
    <oddHeader>&amp;R&amp;G</oddHeader>
    <oddFooter>&amp;L&amp;8Sheet: &amp;A
File: &amp;F&amp;C&amp;8Version: 
Date: &amp;R&amp;8&amp;P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28"/>
  <sheetViews>
    <sheetView topLeftCell="B1" workbookViewId="0">
      <selection activeCell="C28" sqref="C9:C28"/>
    </sheetView>
  </sheetViews>
  <sheetFormatPr defaultColWidth="8.88671875" defaultRowHeight="13.2" x14ac:dyDescent="0.25"/>
  <cols>
    <col min="1" max="1" width="21.33203125" customWidth="1"/>
    <col min="2" max="2" width="28.6640625" customWidth="1"/>
    <col min="3" max="3" width="186.88671875" bestFit="1" customWidth="1"/>
    <col min="4" max="4" width="8.33203125" customWidth="1"/>
    <col min="10" max="10" width="21.33203125" customWidth="1"/>
    <col min="14" max="14" width="64.88671875" customWidth="1"/>
  </cols>
  <sheetData>
    <row r="1" spans="2:14" ht="81" customHeight="1" thickBot="1" x14ac:dyDescent="0.3">
      <c r="J1" s="23"/>
      <c r="K1" s="24"/>
      <c r="N1" s="89"/>
    </row>
    <row r="2" spans="2:14" ht="14.4" thickBot="1" x14ac:dyDescent="0.3">
      <c r="J2" s="25"/>
      <c r="K2" s="28"/>
      <c r="N2" s="89"/>
    </row>
    <row r="3" spans="2:14" ht="14.4" thickBot="1" x14ac:dyDescent="0.3">
      <c r="J3" s="25"/>
      <c r="K3" s="27"/>
      <c r="N3" s="89"/>
    </row>
    <row r="4" spans="2:14" ht="14.4" thickBot="1" x14ac:dyDescent="0.3">
      <c r="J4" s="25"/>
      <c r="K4" s="27"/>
      <c r="N4" s="89"/>
    </row>
    <row r="5" spans="2:14" ht="14.4" thickBot="1" x14ac:dyDescent="0.3">
      <c r="B5" t="s">
        <v>341</v>
      </c>
      <c r="C5">
        <f>COUNT('CIS Marking Scheme Import'!K28:K492)</f>
        <v>171</v>
      </c>
      <c r="J5" s="25"/>
      <c r="K5" s="27"/>
      <c r="N5" s="89"/>
    </row>
    <row r="6" spans="2:14" ht="14.4" thickBot="1" x14ac:dyDescent="0.3">
      <c r="J6" s="25"/>
      <c r="K6" s="27"/>
      <c r="N6" s="89"/>
    </row>
    <row r="7" spans="2:14" ht="14.4" thickBot="1" x14ac:dyDescent="0.3">
      <c r="J7" s="25"/>
      <c r="K7" s="27"/>
      <c r="N7" s="89"/>
    </row>
    <row r="8" spans="2:14" ht="14.4" thickBot="1" x14ac:dyDescent="0.3">
      <c r="J8" s="25"/>
      <c r="K8" s="27"/>
      <c r="N8" s="89"/>
    </row>
    <row r="9" spans="2:14" ht="14.4" thickBot="1" x14ac:dyDescent="0.3">
      <c r="C9" t="s">
        <v>349</v>
      </c>
      <c r="J9" s="25"/>
      <c r="K9" s="26"/>
      <c r="N9" s="89"/>
    </row>
    <row r="10" spans="2:14" ht="14.4" thickBot="1" x14ac:dyDescent="0.3">
      <c r="C10" t="s">
        <v>350</v>
      </c>
      <c r="J10" s="25"/>
      <c r="K10" s="27"/>
      <c r="N10" s="89"/>
    </row>
    <row r="11" spans="2:14" ht="14.4" thickBot="1" x14ac:dyDescent="0.3">
      <c r="C11" t="s">
        <v>351</v>
      </c>
      <c r="J11" s="25"/>
      <c r="K11" s="27"/>
      <c r="N11" s="89"/>
    </row>
    <row r="12" spans="2:14" ht="14.4" thickBot="1" x14ac:dyDescent="0.3">
      <c r="C12" t="s">
        <v>352</v>
      </c>
      <c r="K12" s="27"/>
      <c r="N12" s="89"/>
    </row>
    <row r="13" spans="2:14" x14ac:dyDescent="0.25">
      <c r="C13" t="s">
        <v>353</v>
      </c>
      <c r="N13" s="89"/>
    </row>
    <row r="14" spans="2:14" x14ac:dyDescent="0.25">
      <c r="C14" t="s">
        <v>354</v>
      </c>
      <c r="N14" s="89"/>
    </row>
    <row r="15" spans="2:14" x14ac:dyDescent="0.25">
      <c r="C15" t="s">
        <v>355</v>
      </c>
      <c r="N15" s="89"/>
    </row>
    <row r="16" spans="2:14" x14ac:dyDescent="0.25">
      <c r="C16" t="s">
        <v>356</v>
      </c>
      <c r="N16" s="89"/>
    </row>
    <row r="17" spans="3:14" x14ac:dyDescent="0.25">
      <c r="C17" t="s">
        <v>357</v>
      </c>
      <c r="N17" s="89"/>
    </row>
    <row r="18" spans="3:14" x14ac:dyDescent="0.25">
      <c r="C18" t="s">
        <v>358</v>
      </c>
      <c r="N18" s="89"/>
    </row>
    <row r="19" spans="3:14" x14ac:dyDescent="0.25">
      <c r="C19" t="s">
        <v>359</v>
      </c>
      <c r="N19" s="89"/>
    </row>
    <row r="20" spans="3:14" x14ac:dyDescent="0.25">
      <c r="C20" t="s">
        <v>360</v>
      </c>
      <c r="N20" s="89"/>
    </row>
    <row r="21" spans="3:14" x14ac:dyDescent="0.25">
      <c r="C21" t="s">
        <v>361</v>
      </c>
      <c r="N21" s="89"/>
    </row>
    <row r="22" spans="3:14" x14ac:dyDescent="0.25">
      <c r="C22" t="s">
        <v>362</v>
      </c>
      <c r="N22" s="89"/>
    </row>
    <row r="23" spans="3:14" x14ac:dyDescent="0.25">
      <c r="C23" t="s">
        <v>363</v>
      </c>
      <c r="N23" s="89"/>
    </row>
    <row r="24" spans="3:14" x14ac:dyDescent="0.25">
      <c r="C24" t="s">
        <v>364</v>
      </c>
      <c r="N24" s="89"/>
    </row>
    <row r="25" spans="3:14" x14ac:dyDescent="0.25">
      <c r="C25" t="s">
        <v>368</v>
      </c>
    </row>
    <row r="26" spans="3:14" x14ac:dyDescent="0.25">
      <c r="C26" t="s">
        <v>365</v>
      </c>
    </row>
    <row r="27" spans="3:14" x14ac:dyDescent="0.25">
      <c r="C27" t="s">
        <v>366</v>
      </c>
    </row>
    <row r="28" spans="3:14" x14ac:dyDescent="0.25">
      <c r="C28" t="s">
        <v>367</v>
      </c>
    </row>
  </sheetData>
  <mergeCells count="1">
    <mergeCell ref="N1:N24"/>
  </mergeCells>
  <pageMargins left="0.39000000000000007" right="0.39000000000000007" top="0.87" bottom="0.59" header="0.2" footer="0.2"/>
  <pageSetup paperSize="9" orientation="landscape" r:id="rId1"/>
  <headerFooter>
    <oddHeader>&amp;R&amp;G</oddHeader>
    <oddFooter>&amp;L&amp;8Sheet: &amp;A
File: &amp;F&amp;C&amp;8Version: 
Date: &amp;R&amp;8&amp;P of &amp;N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C94E0163ABA5C46BDFEF9575BA81040" ma:contentTypeVersion="6" ma:contentTypeDescription="Crie um novo documento." ma:contentTypeScope="" ma:versionID="4dfe2ff040625677f1a80cd8ab5694cd">
  <xsd:schema xmlns:xsd="http://www.w3.org/2001/XMLSchema" xmlns:xs="http://www.w3.org/2001/XMLSchema" xmlns:p="http://schemas.microsoft.com/office/2006/metadata/properties" xmlns:ns2="d67dac1e-1a35-497f-a3c4-62612fec47b9" xmlns:ns3="68019632-394c-4371-9652-cb7773649742" targetNamespace="http://schemas.microsoft.com/office/2006/metadata/properties" ma:root="true" ma:fieldsID="6bb2caa51723ea068afa176e239ba487" ns2:_="" ns3:_="">
    <xsd:import namespace="d67dac1e-1a35-497f-a3c4-62612fec47b9"/>
    <xsd:import namespace="68019632-394c-4371-9652-cb77736497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7dac1e-1a35-497f-a3c4-62612fec47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019632-394c-4371-9652-cb7773649742"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CC8433-B949-4EE6-A856-2ECCA7CBA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7dac1e-1a35-497f-a3c4-62612fec47b9"/>
    <ds:schemaRef ds:uri="68019632-394c-4371-9652-cb77736497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AA0CAF-588F-416F-A40B-DB6B271EFDB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79C9354-E014-4E2C-AE06-D74F5E265A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CIS Marking Scheme Import</vt:lpstr>
      <vt:lpstr>Calculations</vt:lpstr>
    </vt:vector>
  </TitlesOfParts>
  <Manager/>
  <Company>WorldSkills International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Walsh</dc:creator>
  <cp:keywords/>
  <dc:description/>
  <cp:lastModifiedBy>Tiago Pereira Ramos</cp:lastModifiedBy>
  <cp:revision/>
  <dcterms:created xsi:type="dcterms:W3CDTF">2010-04-27T04:25:00Z</dcterms:created>
  <dcterms:modified xsi:type="dcterms:W3CDTF">2025-09-18T18:15:49Z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0x010100CC94E0163ABA5C46BDFEF9575BA81040</vt:lpwstr>
  </property>
</Properties>
</file>