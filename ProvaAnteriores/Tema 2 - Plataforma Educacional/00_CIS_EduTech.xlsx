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CDCADB2C-5199-4E56-A856-A3E2B3C71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 Marking Scheme Import" sheetId="1" r:id="rId1"/>
    <sheet name="Calculations" sheetId="6" r:id="rId2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1" l="1"/>
  <c r="K5" i="1" s="1"/>
  <c r="J10" i="1"/>
  <c r="K10" i="1" s="1"/>
  <c r="N225" i="1"/>
  <c r="N222" i="1"/>
  <c r="N219" i="1"/>
  <c r="N216" i="1"/>
  <c r="N213" i="1"/>
  <c r="N182" i="1"/>
  <c r="N131" i="1"/>
  <c r="N88" i="1"/>
  <c r="N28" i="1"/>
  <c r="J11" i="1"/>
  <c r="K11" i="1" s="1"/>
  <c r="J9" i="1"/>
  <c r="K9" i="1" s="1"/>
  <c r="J8" i="1"/>
  <c r="K8" i="1" s="1"/>
  <c r="J7" i="1"/>
  <c r="K7" i="1" s="1"/>
  <c r="J6" i="1"/>
  <c r="K6" i="1" s="1"/>
  <c r="N230" i="1" l="1"/>
  <c r="K12" i="1"/>
</calcChain>
</file>

<file path=xl/sharedStrings.xml><?xml version="1.0" encoding="utf-8"?>
<sst xmlns="http://schemas.openxmlformats.org/spreadsheetml/2006/main" count="1515" uniqueCount="299">
  <si>
    <t>08 Mobile Applications Development</t>
  </si>
  <si>
    <t>WorldSkills Occupational Standards</t>
  </si>
  <si>
    <t>Section</t>
  </si>
  <si>
    <t>WSOS Marks</t>
  </si>
  <si>
    <t>Aspect Marks</t>
  </si>
  <si>
    <t>Variation</t>
  </si>
  <si>
    <t>Total Variation</t>
  </si>
  <si>
    <t>Criteria</t>
  </si>
  <si>
    <t>ID</t>
  </si>
  <si>
    <t>Name</t>
  </si>
  <si>
    <t>Mark</t>
  </si>
  <si>
    <t>A</t>
  </si>
  <si>
    <t>B</t>
  </si>
  <si>
    <t>Design</t>
  </si>
  <si>
    <t>C</t>
  </si>
  <si>
    <t>D</t>
  </si>
  <si>
    <t>E</t>
  </si>
  <si>
    <t>F</t>
  </si>
  <si>
    <t>G</t>
  </si>
  <si>
    <t>H</t>
  </si>
  <si>
    <t>I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</si>
  <si>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</si>
  <si>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</si>
  <si>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</si>
  <si>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</si>
  <si>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</si>
  <si>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</si>
  <si>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</si>
  <si>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</si>
  <si>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</si>
  <si>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</si>
  <si>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</si>
  <si>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A</t>
  </si>
  <si>
    <t>Total
Mark</t>
  </si>
  <si>
    <t>A1</t>
  </si>
  <si>
    <t/>
  </si>
  <si>
    <t>M</t>
  </si>
  <si>
    <t>J</t>
  </si>
  <si>
    <t>A2</t>
  </si>
  <si>
    <t>Criterion B</t>
  </si>
  <si>
    <t>B1</t>
  </si>
  <si>
    <t>Design AM</t>
  </si>
  <si>
    <t>B2</t>
  </si>
  <si>
    <t>Design PM</t>
  </si>
  <si>
    <t>Criterion C</t>
  </si>
  <si>
    <t>C1</t>
  </si>
  <si>
    <t>C2</t>
  </si>
  <si>
    <t>Criterion D</t>
  </si>
  <si>
    <t>D1</t>
  </si>
  <si>
    <t>D2</t>
  </si>
  <si>
    <t>Criterion E</t>
  </si>
  <si>
    <t>Criterion F</t>
  </si>
  <si>
    <t>Criterion G</t>
  </si>
  <si>
    <t>Criterion H</t>
  </si>
  <si>
    <t>Criterion I</t>
  </si>
  <si>
    <t>Competition</t>
  </si>
  <si>
    <t>Organização e gestão do trabalho</t>
  </si>
  <si>
    <t>Comunicação e habilidades interpessoais</t>
  </si>
  <si>
    <t>Prática Sustentável</t>
  </si>
  <si>
    <t>Planejamento inicial, design e estrutura de teste</t>
  </si>
  <si>
    <t>Planejamento de arquitetura de sistemas</t>
  </si>
  <si>
    <t>Implementação e desenvolvimento de produto</t>
  </si>
  <si>
    <t>Testes finais do produto, solução de problemas e otimização</t>
  </si>
  <si>
    <t>Funcionalidades</t>
  </si>
  <si>
    <t>Implementações</t>
  </si>
  <si>
    <t>Testes</t>
  </si>
  <si>
    <t>Funcionalidades-AM</t>
  </si>
  <si>
    <t>Funcionalidades-PM</t>
  </si>
  <si>
    <t>Implementações-AM</t>
  </si>
  <si>
    <t>Implementações-PM</t>
  </si>
  <si>
    <t>Desenvolvimento por casos de testes</t>
  </si>
  <si>
    <t>Testes automatizados</t>
  </si>
  <si>
    <t>Aplicativo é fácil de usar</t>
  </si>
  <si>
    <t>O aplicativo não funciona normalmente</t>
  </si>
  <si>
    <t>O aplicativo funciona normalmente e a maioria das funções é fácil de usar, algumas funções são difíceis de usar.</t>
  </si>
  <si>
    <t>O aplicativo funciona normalmente, mas a maioria das funções são difíceis de usar.</t>
  </si>
  <si>
    <t>O aplicativo funciona normalmente e a experiência funcional é boa, todos os usuários podem aproveitar.</t>
  </si>
  <si>
    <t>O design visual geral do Figma funciona, cada página tem algumas melhorias de design.</t>
  </si>
  <si>
    <t>A otimização de elementos visuais, como correspondência de cores, design de botões e layout de conteúdo, melhorou efetivamente o efeito do mapa geral do protótipo</t>
  </si>
  <si>
    <t>Fiquei impressionado com o design requintado dos protótipos de alta fidelidade.</t>
  </si>
  <si>
    <t>Não existe quase nenhum design visual, semelhante a wireframes</t>
  </si>
  <si>
    <t>Existem poucas otimizações de design visual</t>
  </si>
  <si>
    <t>A experiência de usar o protótipo no Figma</t>
  </si>
  <si>
    <t>Os trabalhos do Figma não podem ser visualizados</t>
  </si>
  <si>
    <t>As expectativas de operação das telas no figma são consistentes com o que foi solicitado</t>
  </si>
  <si>
    <t>Além do que foi solicitado, foram adicionados novas telas e elementos de tela</t>
  </si>
  <si>
    <t>As telas e elementos de telas adicionados podem melhorar efetivamente a experiência do usuário.</t>
  </si>
  <si>
    <t>Qualidade das animações</t>
  </si>
  <si>
    <t>Não concluiu nenhum efeito de animação</t>
  </si>
  <si>
    <t>Parte das animações foi concluída ou alguns efeitos estão com falhas</t>
  </si>
  <si>
    <t>Todas as animações foram concluídas e os efeitos estão próximos dos vídeos/textos fornecidos</t>
  </si>
  <si>
    <t>Todas as animações foram concluídas e os efeitos são os mesmos dos vídeos fornecidos</t>
  </si>
  <si>
    <t>Qualidade do layout</t>
  </si>
  <si>
    <t>Os estilos, cores e posições dos elementos da página são bastante diferentes com os protótipos fornecidos</t>
  </si>
  <si>
    <t>Os estilos, cores e posições dos elementos da página são um pouco diferentes dos protótipos fornecidos</t>
  </si>
  <si>
    <t>Os estilos, cores e posições dos elementos da página estão próximos dos protótipos fornecidos</t>
  </si>
  <si>
    <t>Os estilos, cores e posições dos elementos da página são iguais aos protótipos fornecidos</t>
  </si>
  <si>
    <t>Facilidade de uso do aplicativo</t>
  </si>
  <si>
    <t>O aplicativo funciona normalmente, mas faltam algumas funcionalidades</t>
  </si>
  <si>
    <t>O aplicativo é executado normalmente e as funções foram concluídas.</t>
  </si>
  <si>
    <t>O aplicativo funciona normalmente e a experiência funcional é boa.</t>
  </si>
  <si>
    <t>Demandas Gerais:Adicionou uma nova tela para aprimorar a UX do app</t>
  </si>
  <si>
    <t>Demandas Gerais: Devem ser configurados links entre todas as páginas, e todas as páginas podem ser acessadas através de links;</t>
  </si>
  <si>
    <t>08_Modulo_A1_PI2</t>
  </si>
  <si>
    <t>Splash Screen: requisitos de design</t>
  </si>
  <si>
    <t>Tutorial de Integração: requisitos de design</t>
  </si>
  <si>
    <t>Splash Screen: componentes visuais</t>
  </si>
  <si>
    <t>Tutorial de Integração: componentes visuais</t>
  </si>
  <si>
    <t>Login: componentes visuais</t>
  </si>
  <si>
    <t>Login: requisitos de design</t>
  </si>
  <si>
    <t>Início: componentes visuais</t>
  </si>
  <si>
    <t>Início: requisitos de design</t>
  </si>
  <si>
    <t>Uniões: componentes visuais</t>
  </si>
  <si>
    <t>Uniões: requisitos de design</t>
  </si>
  <si>
    <t>Candidato: componentes visuais</t>
  </si>
  <si>
    <t>Candidato: requisitos de design</t>
  </si>
  <si>
    <t>Drawer Menu: componentes visuais</t>
  </si>
  <si>
    <t>Drawer Menu: requisitos de design</t>
  </si>
  <si>
    <t>1) É possível aceitar pelo menos 2 perfis com o gesto swipe na imagem para a direita;[0.2]
2) É possível recusar pelo menos 2 perfis com o gesto swipe na imagem para a esquerda;[0.2]
3) É possível aceitar pelo menos 2 perfis clicando no ícone de coração;[0.2]
4) É possível aceitar pelo menos 2 perfis clicando no ícone para “apertar bochechas”;[0.2]
5) É possível recusar pelo menos 2 perfis clicando no ícone de X;[0.2]
6) Ao clicar no botão “+” a tela de Candidato é aberta;[0.2]</t>
  </si>
  <si>
    <t>1) App bar contendo ícone de menu e logo do app;[0.1]
2) Título da tela “INÍCIO”;[0.1]
3) Imagem da foto do usuário, com um ícone de uma coroa um pouco caída;[0.1]
4) Texto de boas-vindas: “Oii João Pedro!”;[0.1]
5) Texto ”Você está popular esta semana!”, seguido de um ícone de raio;[0.1]
6) 3 cards com os números de um perfil;[0.1]
7) Botão com um ícone de lupa seguido do texto “Buscar Perfis”;[0.1]</t>
  </si>
  <si>
    <t>1) Usou uma das fotos de perfil disponíveis em media-files;[0.1]
3) Criou uma animação para a coroa em cima da foto de perfil do usuário;[0.2]
3) Ao clicar no ícone de menu, o menu drawer é aberto;[0.2]</t>
  </si>
  <si>
    <t>1) Enquanto estiver segurando o botão para “apertar bochechas”, existe uma animação que destaque a escolha deste candidato e, ao soltar o botão, finaliza com uma segunda animação de sucesso, retornando para a tela de uniões posteriormente ao término da segunda animação;[0.3]
2) Ao clicar em qualquer outro ícone ou botão, o usuário volta para a tela de Uniões, para um perfil diferente do que está nesta tela de detalhes;[0.1]</t>
  </si>
  <si>
    <t>1) Utilizou um ou mais imagens para os slides disponíveis em media-files;[0.1]
2) Os slides podem ser passados pelo gesto swipe;[0.1]
3) Foi criado animações de entrada e saída para cada imagem de cada slide;[0.2]
4) Foi criado animações de entrada e saída para cada texto de cada slide;[0.2]</t>
  </si>
  <si>
    <t>1) Criou uma simulação de entrada de dados pelo usuário;[0.2]
2) Ao clicar no ícone de olho no input de senha, é possível visualizar a senha de forma textual, retirando as bolinhas;[0.1]
3) Ao soltar o ícone de olho, é retornado os valores com as bolinhas da senha novamente;[0.1]</t>
  </si>
  <si>
    <t>1) A duração da Splash Screen é de 5 segundos;[0.1]
2) O logo foi animado, suavemente de cima para baixo, de um tamanho pequeno, até um tamanho similar ao wireframe;[0.1]
3) Após o término da animação, o logo ficou centralizado horizontalmente e verticalmente na tela;[0.1]
4) Criou uma animação também para o fundo(background) da tela, seguindo a guia de estilos da marca;[0.1]</t>
  </si>
  <si>
    <t>1) Logo do Aplicativo;[0.1]</t>
  </si>
  <si>
    <t>1) Ícone de seta para a esquerda;[0.05]
2) Texto “Voltar”;[0.05]
3) Item inicio, ícone e texto;[0.05]
3) Item buscar perfis, ícone e texto;[0.05]
3) Item trocar tema, ícone e texto;[0.05]
3) Item sair, ícone e texto;[0.05]</t>
  </si>
  <si>
    <t>1) O ícone de seta e texto “voltar” fecham o menu; [0.1]
5) O item “Trocar tema” troca o tema das telas inteiras para o modo dark, porém apenas nas telas início e uniões; [0.2]
6) No tema dark, o ícone do item “Trocar tema” é um sol, ao invés de uma lua; [0.1]
7) Ao clicar no item “Trocar tema”, pelo modo dark, o tema volta para o modo light novamente; [0.2]</t>
  </si>
  <si>
    <t>1) Imagem do slider;[0.05]
2) Título do slider;[0.05]
3) Textos de cada etapa, conforme Media-Files;[0.1]
4) Indicadores de passo/slide atual;[0.05]
5) Botão para pular ou logar no app;[0.05]</t>
  </si>
  <si>
    <t>1) Logo do aplicativo;[0.05]
2) Texto de boas-vindas;[0.05]
3) Input com placeholder “Email”;[0.05]
4) Input com placeholder “Senha”, com bolinhas ao digitar a senha;[0.05]
5) Botão com texto “Logar”;[0.05]
6) Botão com texto “Novo(a) por aqui? Cadastre-se”;[0.05]</t>
  </si>
  <si>
    <t>1) App bar contendo ícone de menu e logo do app;[0.05]
2) Título da tela “vamos fazer uma união?”;[0.05]
3) Slides dos perfis;[0.1]
4) Botão sobreposto “+” para visualizar os detalhes do perfil;[0.1]
5) Nome do perfil;[0.05]
6) Idade;[0.05]
7) Distância em Km;[0.05]
8) Ícone para recusar união;[0.05]
9) Ícone para “apertar bochechas”;[0.05]
10) Ícone para curtir união;[0.05]</t>
  </si>
  <si>
    <t>1) App bar contendo ícone de menu e logo do app;[0.05]
2) Foto do candidato;[0.05]
3) Botão sobreposto “-” para voltar a tela de Uniões;[0.05]
4) Nome do perfil;[0.05]
5) Idade;[0.05]
6) Distância em Km;[0.05]
7) Descrição;[0.05]
8) Ícone para recusar união;[0.05]
9) Ícone para “apertar bochechas”;[0.05]
10) Ícone para curtir união;[0.05]</t>
  </si>
  <si>
    <t>08_Modulo_A2_PI2</t>
  </si>
  <si>
    <t>Demandas Gerais: nome correto do arquivo</t>
  </si>
  <si>
    <t>Home: componentes visuais</t>
  </si>
  <si>
    <t>Home: requisitos de design</t>
  </si>
  <si>
    <t>Usuários: componentes visuais</t>
  </si>
  <si>
    <t>Usuários: requisitos de design</t>
  </si>
  <si>
    <t>Colaboradores: componentes visuais</t>
  </si>
  <si>
    <t>Colaboradores: requisitos de design</t>
  </si>
  <si>
    <t>Cadastrar Colaborador(a): componentes visuais</t>
  </si>
  <si>
    <t>Cadastrar Colaborador(a): requisitos de design</t>
  </si>
  <si>
    <t>Estratégias: componentes visuais</t>
  </si>
  <si>
    <t>Estratégias: requisitos de design</t>
  </si>
  <si>
    <t>SAC: componentes visuais</t>
  </si>
  <si>
    <t>SAC: requisitos de design</t>
  </si>
  <si>
    <t>1) Logo do aplicativo;[0.05]</t>
  </si>
  <si>
    <t>1) Imagem fornecida no Media Files;[0.05]
2) Texto para título fornecida no Media Files;[0.05]
3) Input com placeholder “E-mail ou CPF”;[0.05]
4) Input com placeholder “Senha”;[0.05]
5) Botão com texto “Entrar”; [0.05]</t>
  </si>
  <si>
    <t>1) Barra lateral esquerda;[0.05]
2) Avatar com foto do usuário;[0.05]
3) Card com número total de usuários  comuns cadastrados;[0.05]
4) Card com a quantidade de usuários premium cadastrados;[0.05]
5) Gráfico de linhas com usuários comuns cadastrados nos últimos 12 meses, com ícone de expansão;[0.05]
6) Gráfico de linhas com a quantidade de usuários premium cadastrados nos últimos 12 meses, comícone de expansão;[0.05]
7) Gráfico de rosca com porcentagem de satisfação com o SAC;[0.05]
8) Gráfico de rosca com porcentagem de turnover; [0.05]</t>
  </si>
  <si>
    <t>1) Título com o texto “Usuários”;[0.05]
2) Input para barra de busca com filtro para: idade, Localização, interesse e selo;[0.05]
3) Botão para página “Estratégias”;[0.05]
4) Tabela com lista de usuários;[0.05]</t>
  </si>
  <si>
    <t>1) Title com o texto “Colaboradores”;[0.05]
2) Input para barra de busca com filtro por: área de Atuação, anos na Union e interesse;[0.05]
3) Botão para a página “Cadastrar Colaborador(a)”;[0.05]
4) Botão para a página “Estratégias”;[0.05]
5) Cards de colaboradores(as), com botões para editare excluir, a listagem de colaboradores(as) deve serfeita em 3 colunas por linha;[0.05]</t>
  </si>
  <si>
    <t>1) Title com o texto “Cadastrar Colaborador(a)”;[0.05]
2) Tabs de navegação;[0.05]
3) Input do tipo texto para nome completo;[0.05]
4) Input do tipo texto para rua ou avenida;[0.05]
5) Input do tipo texto para número da residência;[0.05]
6) Select para cidade;[0.05]
7) Select para estado;[0.05]
8) Botão “Cadastrar”;[0.05]</t>
  </si>
  <si>
    <t>1) Input para barra de busca com filtros;[0.05]
2) Carrossel com cards para estratégias em andamento;[0.05]
3) Carrossel com cards para estratégias que serão colocadas em vigor em breve.[0.05]</t>
  </si>
  <si>
    <t>1) Input para barra de busca com filtros por: idade, localização, interesse, selo e atendente;[0.05]
2) Botão que leva para a página “Estratégias”;[0.05]
3) Tabela com a lista de tickets do SAC;[0.05]</t>
  </si>
  <si>
    <t>1) A tela deve apresentar animação de entrada conforme prova;[0.2]
2) Caso algum não seja preenchido, existe uma sinalização; [0.1]
3) A navegação entre tabs apresenta uma animação; [0.1]
4) Ao final do cadastro, o(a) gestor(a) recebe uma mensagem que o seu cadastro falhou;[0.1]
5) A tela deve conter animação de saída dos elementos inversa a animação de entrada;[0.2]</t>
  </si>
  <si>
    <t>1) A tela deve apresentar animação de entrada conforme prova;[0.2]
2) O(a) gestor(a) realiza a busca com ou sem a utilização de filtros;[0.1]
3) Ao clicar no ícone de filtros, aparece uma modal, com um botão escrito “Buscar Usuário”. Deverá ser possível filtrar por: idade,localização, interesse e selo.[0.1]
4) A lista de usuários contém rolagem infinita;[0.1]
5) A tela contém animação de saída dos elementos inversa a animação de entrada;[0.2]</t>
  </si>
  <si>
    <t>1) Existe a possibilidade de ter uma versão recolhida da barra lateral;[0.2]
2) Existe animação de entrada de todos os elementos conforme prova;[0.2]
3) A quantidade de usuários cadastrados e usuários premium deve apresentar animação que vai do zero até a respectiva quantidade da variável, desacelerando quando chegar próximo ao valor final;[0.1]
4) Em cada gráfico de linha deve ser possível visualizá-lo em tela cheia;[0.1]
5) Os gráficos de rosca devem conter animação no círculo que vai do zero até o valor final do assunto;[0.1]
6) A tela deve conter animação de saída dos elementos inversa a animação de entrada;[0.2]</t>
  </si>
  <si>
    <t>1) A tela contém animação de entrada dos elementos, conforme prova; [0.2]
2) Exite uma sinalização caso algum campo não tenha sido preenchido; [0.1]
3) O(a) usuário(a) recebe uma mensagem ao logar com sucesso;[0.1]
4) A tela contém animação de saída dos Elementos inversa a animação de entrada;[0.2]</t>
  </si>
  <si>
    <t>1) A Splash Screen segue a Identidade Visual da marca;[0.1]
2) Existe animação do logo conforme prova; [0.2]
3) O tempo de exibição da tela é de 5 segundos;[0.1]
4) Existe  animação de fechamento conforme prova;[0.2]</t>
  </si>
  <si>
    <t>1) A tela deve apresentar animação de entrada conforme prova;[0.2]
2) O(a) gestor(a) consegue realizar a busca com ou sem a utilização de filtros;[0.1]
3) Ao clicar no ícone de filtros, eles aparecem em uma modal, acompanhados de um botão escrito “Buscar Estratégia(s)”. [0.05]
4) É possível filtrar por: objetivo ou data da estratégia;[0.05]
5) Os carrosséis apresentam animação no movimento dos cards;[0.05]
6) Ao dar um tap em um card, ele abre  em uma modal apresentando todos os detalhes da estratégia;[0.1]
7) A abertura da modal da estratégia contém uma animação;[0.05]
8) A tela deve conter animação de saída dos elementos inversa a animação de entrada;[0.2]</t>
  </si>
  <si>
    <t>1) A tela deve apresentar animação de entrada conforme prova; [0.2]
2) O(a) gestor(a) deve conseguir realizar a busca com ou sem a utilização de filtros;[0,05]
3) Ao clicar no ícone de filtros, aparece uma modal, acompanhados de um botão escrito “Buscar Ticket”; [0,05]
4) Deve ser possível filtrar por: idade, localização, interesse, selo e atendente;[0,05]
5) A abertura da modal do ticket contém uma animação;[0,05]
6) A lista de tickets contém o recurso de rolagem infinita;[0.1]
7) A tela deve conter animação de saída dos elementos inversa a animação de entrada;[0.2]</t>
  </si>
  <si>
    <t>1) A tela deve apresentar animação de entrada de todos os  elementos conforme prova; [0.2]
2) O(a) gestor(a) consegue realizar a busca com ou sem a utilização de filtros;[0.05]
3) Ao clicar no ícone de filtros, eles aparecem em uma modal, acompanhados de um botão escrito “Buscar Colaborador(a)”. [0.05]
4) Deve ser possível filtrar por: Área de Atuação, Anos na Union e Interesse;[0.05]
5) Ao dar um tap em um card, ele abre em uma modal apresentando o perfil completo do(a) colaborador(a);[0.05]
6) A abertura da modal do perfil do(a) colaborador(a) contém uma animação;[0.05]
7) A tela deve conter animação de saída dos elementos inversa a animação de entrada; [0.2]</t>
  </si>
  <si>
    <t>Splash Screen: Requisitos funcionais</t>
  </si>
  <si>
    <t>1) Logo do aplicativo;</t>
  </si>
  <si>
    <t>Tutorial de Integração: requisitos funcionais</t>
  </si>
  <si>
    <t>Login: requisitos funcionais</t>
  </si>
  <si>
    <t>Início: requisitos funcionais</t>
  </si>
  <si>
    <t>O sistema operacional deve mostrar o ícone do aplicativo;</t>
  </si>
  <si>
    <t>1) Avatar 3D;[0.4]
2) Textos de cada etapa, conforme Media-Files; [0.3]
3) Indicadores de passo/slide atual; [0.3]
4) Botão para pular ou logar no app; [0.2]</t>
  </si>
  <si>
    <t>1)Logo do aplicativo; [0.2]
2)Texto de boas-vindas; [0.2]
3) Input com placeholder “Email”; [0.2]
4) Input com placeholder “Senha”, com bolinhas ao digitar a senha; [0.2]
5) Botão com texto “Logar”; [0.2]
6) Botão com texto “Novo(a) por aqui? Cadastre-se”; [0.2]</t>
  </si>
  <si>
    <t>1) Título da tela “INÍCIO”; [0.2]
2) Imagem da foto do usuário, com um ícone de uma coroa um pouco caída; [0.4]
3) Texto de boas-vindas: “Oii, $nomedousuario!”; [0.2]
4) Texto ”Você está popular esta semana!”, seguido de um ícone de raio; [0.2]
5) 3 cards contendo informações conforme prova; [0.3]
6) Botão com um ícone de lupa seguido do texto “Buscar Perfis”; [0.2]
7) Texto: “Sair”, com link para realizar logout na aplicação; [0.2]</t>
  </si>
  <si>
    <t>1) É possível logar na aplicação com um usuário válido, cadastrado na API; [0.4]
2) Ao tentar logar com um usuário inválido, uma mensagem de erro em baixo do botão “Logar” aparece em vermelho, com o seguinte texto “Dados de acesso inválidos, tente novamente!”; [0.3]
3) Ao tocar e segurar no ícone de olho no input de senha, é possível visualizar a senha de forma textual, retirando as bolinhas; [0.4]
4) Ao soltar o ícone de olho, são retornados os valores com as bolinhas da senha novamente; [0.3]
5) Ao clicar em “Logar” com um usuário válido pela API, o usuário volta para a tela Início; [0.3]</t>
  </si>
  <si>
    <t>1) Utilizou um dos modelos de avatar 3d disponíveis em media-files; [0.3]
2) Os slides são passados pelo gesto swipe; [0.2]
3) O avatar possui uma animação suave de entrada no primeiro slide da esquerda para direita, rotacionando em seu próprio eixo e finalizando sua animação com o corpo virado para a frente da tela do usuário. [0.5]
4) Ao passar para o segundo slide, o avatar 3D deve rotaciona suavemente para a nova posição finalizando sua animação novamente de frente para o usuário; [0.5]
5) No slide final, os elementos são animados conforme prova; [0.3]
6) Ao clicar nos botões “Pular” e “Logar”, o usuário é redirecionado para a tela de Login; [0.2]</t>
  </si>
  <si>
    <t>Demandas Gerais: entrega do projeto</t>
  </si>
  <si>
    <t>Demandas Gerais: nomenclatura</t>
  </si>
  <si>
    <t>O app foi criado com o nome modulo.b1.pi2.2024</t>
  </si>
  <si>
    <t>1) O projeto foi entregue dentro do tempo proposto; [0.2]
2) O projeto foi entregue no repositório GIT; [0.2]
2) O repositório possui a nomenclatura 08_Modulo_B1_PI2; [0.2]
3) No repositório exsitem os arquivos do projeto + apk; [0.4]</t>
  </si>
  <si>
    <t>1) Uma vez logado com sucesso na aplicação, ao fechar e abrir novamente o app, o usuário já inicia a navegação a partir desta tela início, sem a necessidade de logar novamente na aplicação. [0.4]
2) Os dados de perfil, como nome e foto devem são buscados da API; [0.6]
3) Os números dos cards “Visualizações”, “Curtidas” e “Mensagens” são iniciadas do 0 e existe uma contagem progressiva até chegarem nos respectivos números mostrados no wireframes ou disponibilizados pela api; [0.6]
4) Ao clicar em “Sair”, todo o acesso do usuário é descartado e o mesmo deverá ser redirecionado para a tela de login; [0.2]</t>
  </si>
  <si>
    <t>Demandas Gerais: ícone do aplicativo</t>
  </si>
  <si>
    <t>O app foi criado com o nome modulo.b2.pi2.2024</t>
  </si>
  <si>
    <t>1) O projeto foi entregue dentro do tempo proposto; [0.2]
2) O projeto foi entregue no repositório GIT; [0.2]
2) O repositório possui a nomenclatura 08_Modulo_B2_PI2; [0.2]
3) No repositório exsitem os arquivos do projeto + apk; [0.4]</t>
  </si>
  <si>
    <t>Login: acesso por biometria</t>
  </si>
  <si>
    <t>1) A duração da Splash Screen é de 5 segundos; [0.2]
1) A tela contém animações de entrada conforme prova;[0.3]
2) A tela contém animações de saída conforme prova;[0.3]
4) Foi criado uma animação para o fundo(background) da tela, seguindo a guia de estilos da marca; [0.4]</t>
  </si>
  <si>
    <t>Home: animações</t>
  </si>
  <si>
    <t>Home: API</t>
  </si>
  <si>
    <t>Home: gráficos</t>
  </si>
  <si>
    <t>Colabboradores: componentes visuais</t>
  </si>
  <si>
    <t>Colaboradores: animações</t>
  </si>
  <si>
    <t>Colaboradores: filtros</t>
  </si>
  <si>
    <t>Colaboradores: ações</t>
  </si>
  <si>
    <t>Estratégias: animações</t>
  </si>
  <si>
    <t>Estratégias: filtros</t>
  </si>
  <si>
    <t>Estratégias: carrossel</t>
  </si>
  <si>
    <t>Estratégias: ações</t>
  </si>
  <si>
    <t>1) Imagem fornecida no Media Files;[0.1]
2) Texto para título fornecida no Media Files;[0.1]
5) Botão com ícone de impressão digital e texto “entrar com biometria”; [0.1]</t>
  </si>
  <si>
    <t>1) Sidebar com Logotipo e Menu de navegação com telas da aplicação;[0.1]
2) Title com o texto “Home”;[0.1]
3) Avatar;[0.1]
4) Card com o total de usuários comuns;[0.1]
5) Card com o total de usuários premium;[0.1]
6) Card com o total de usuários comuns nos últimos 12 meses;[0.1]
7) Card com o total de usuários premium nos últimos 12 meses;[0.1]
8) Card com gráfico de rosca com porcentagem de  Satisfação com o SAC;[0.1]
9) Card com gráfico de rosca com porcentagem de turnover;[0.1]</t>
  </si>
  <si>
    <t>1) Title com o texto “Colaboradores”;[0.1]
2) Input do tipo search com ícone de filtro;[0.1]
3) Botão “Acessar Estratégias”;[0.1]
4) Title com “Lista de Colaboradores; [0.1]
5) Cards com lista de colaboradores(as), sendo que, em cada linha, teremos 3 cards e, em cada card, teremos:  Avatar; Nome do(a) Usuário(a); Área de Atuação; Anos na Union; Interesse; Botão “Editar”; Botão “Excluir”;[0.1]</t>
  </si>
  <si>
    <t>1) Title com o texto “Estratégias”;[0.1]
2) Input do tipo search com filtro para: objetivo e data de conclusão;[0.1]
3) Carrossel com estratégias em andamento, contendo: Banner, Nome da Estratégia, Objetivo, Prazo da Estratégia;[0.1]
4) Carrossel com estratégias que serão iniciadas em breve, contendo: Banner, Nome da Estratégia, Objetivo, Prazo da Estratégia;[0.1]</t>
  </si>
  <si>
    <t>1) É possível logar biometria; [0.5]</t>
  </si>
  <si>
    <t>1) É mostrado um gráfico de linhas com usuários cadastrados nos últimos 12 meses; [0.5]
2) É mostrado um gráfico de linhas com usuários premium nos últimos 12 meses; [0.5]
3) É mostrado um gráfico de rosca com porcentagem vinda da API, da satisfação com o SAC; [0.3]
4) É mostrado um gráfico de rosca com porcentagem vinda da API, de turnover; [0.3]
5) Ao clicar no gráfico de rosca com porcentagem de turnover, o usuário é redirecionado para a tela “Colaboradores”; [0.1]</t>
  </si>
  <si>
    <t>1) A tela deve conter animação de entrada dos elementos conforme prova;[0.3]
2) A tela deve conter animação de saída dos elementos conforme prova; [0.3]</t>
  </si>
  <si>
    <t>1)  Ao clicar no botão “Acessar Estratégias” o usuário é redirecionado para a página “Estratégias”; [0.1]
2)  Ao dar um tap em um card, um modal abre apresentando o perfil completo do(a) colaborador(a);  [0.2]
3) É possível excluir o cadastro de um determinado colaborador pela API, através de uma modal para dupla checagem; [0.3]</t>
  </si>
  <si>
    <t>1) Existe uma barra de carregamento acima do deadline de cada card para sinalizar o tempo restante para o final da estratégia; [0.3]
2) Ao dar um tap em um card, é exibido um modal apresentando todos os detalhes da estratégia; [0.3]</t>
  </si>
  <si>
    <t>1) Ao fazer uma busca, a tabela é atualizada para exibir os resultados correspondentes; [0.4]
2) Ao clicar no filtro da barra de busca, as opções de filtro aparecem em uma modal junto a um botão “Buscar Colaboradores(as)”; [0.5]
3) Deverá ser possível filtrar por: área de atuação, anos na Union e interesse; [0.6]</t>
  </si>
  <si>
    <t>1) Ao fazer uma busca, a tabela é atualizada para exibir os resultados correspondentes; [0.4]
2) Ao clicar no filtro da barra de busca, as opções de filtro aparecem em uma modal junto a um botão “Buscar Estratégia(s)”; [0.5]
3) É possível filtrar por: objetivo e data de conclusão; [0.6]</t>
  </si>
  <si>
    <t>1) O primeiro card contém o número total de usuários cadastrados na API; [0.5]
2) O segundo card contém o número total de usuários premium cadastrados na API; [0.5]</t>
  </si>
  <si>
    <t>1) Existe um carrossel com as estratégias em andamento com cards, sendo que o primeiro card é destacado; [0.4]
2) Existe um carrossel com as estratégias que serão iniciadas em breve é exibido com cards, sendo que o primeiro card é destacado; [0.4]</t>
  </si>
  <si>
    <t>1) A tela deve conter animação de entrada dos elementos conforme prova;[0.3]
2) A tela deve conter animação de saída dos elementos conforme prova;[0.3]</t>
  </si>
  <si>
    <t xml:space="preserve">1) A tela contém animação de entrada dos elementos conforme prova;[0.2]
2) Os cards numéricos inteiros apresentam animação que vai do zero até a respectiva quantidade da variável;[0.2]
3) Os gráficos de rosca contém animação circular que vai do zero até o valor final do valor vindo da API;[0.6]
4) A tela contém animação de saída dos elementos inversa a animação de entrada;[0.2]
</t>
  </si>
  <si>
    <t>Todas as animações foram concluídas e os efeitos são os mesmos dos vídeos/textos fornecidos</t>
  </si>
  <si>
    <t>Verificação de perfil: API</t>
  </si>
  <si>
    <t>Verificação de perfil: componentes visuais</t>
  </si>
  <si>
    <t>Verificação de perfil: câmera</t>
  </si>
  <si>
    <t>Verificação de perfil: Firebase</t>
  </si>
  <si>
    <t>Verificação de perfil: edição</t>
  </si>
  <si>
    <t>Verificação de perfil: exclusão</t>
  </si>
  <si>
    <t>Verificação de perfil: dark mode</t>
  </si>
  <si>
    <t>O app foi criado com o nome modulo.c1.pi2.2024</t>
  </si>
  <si>
    <t>1) O projeto foi entregue dentro do tempo proposto; [0.2]
2) O projeto foi entregue no repositório GIT; [0.2]
2) O repositório possui a nomenclatura 08_Modulo_C1_PI2; [0.2]
3) No repositório exsitem os arquivos do projeto + apk; [0.4]</t>
  </si>
  <si>
    <t>Qualidade do layout do Widget Externo</t>
  </si>
  <si>
    <t>Verificação de perfil: audio - reprodução</t>
  </si>
  <si>
    <t>Verificação de perfil: audio - gravação</t>
  </si>
  <si>
    <t>Widget externo: componentes visuais</t>
  </si>
  <si>
    <t>Widget externo: requisitos funcionais</t>
  </si>
  <si>
    <t>Ao utilizar um gesto de long press no ícone de lixeira em algum áudio, o mesmo é excluído da lista;</t>
  </si>
  <si>
    <t>O app foi criado com o nome modulo.c2.pi2.2024</t>
  </si>
  <si>
    <t>1) O projeto foi entregue dentro do tempo proposto; [0.2]
2) O projeto foi entregue no repositório GIT; [0.2]
2) O repositório possui a nomenclatura 08_Modulo_C2_PI2; [0.2]
3) No repositório exsitem os arquivos do projeto + apk; [0.4]</t>
  </si>
  <si>
    <t>1) Ícone do modo light/dark;[0.1]
2) Foto de perfil;[0.1]
3) Raio com a porcentagem de perfil completo;[0.1]
4) Idade do usuário;[0.1]
5) Ícone de câmera;[0.1]
6) Subtítulo: Descrição;[0.1]
7) Ícone para edição da descrição;[0.1]
8) Texto da descrição;[0.1]
9) Lista de áudios, cada um deles com:Botão play/stop para o audio; Waveform dos audios disponibilizados; Ícone de lixeira para excluir;[0.1]
10)Botão com ícone de microfone;[0.1]</t>
  </si>
  <si>
    <t>1) Os dados do usuário são providos da API fornecida;[0.3]</t>
  </si>
  <si>
    <t>1) Ao clicar no ícone de câmera, a câmera do dispositivo é habilitada; [0.2]
2) Após tirar uma foto com a câmera, a nova foto preenche o lugar da foto antiga do perfil; [0.3]
3) A nova foto é persistida na API fornecida; [0.5]</t>
  </si>
  <si>
    <t>1) O áudio disponibilizado em media-files/C1 foi carregado no app; [0.2]
2) Ao apertar ícone de play, o áudio foi reproduzido; [0.3]
3) Ao apertar ícone de play, o mesmo foi trocado pelo ícone de pausa; [0.2]
4) Ao apertar o ícone de pausa, o áudio foi pausado; [0.3]
5) Ao retomar o áudio de uma pausa, o áudio continua sua reprodução de onde parou anteriormente; [0.3]</t>
  </si>
  <si>
    <t xml:space="preserve">1) Ao clicar no ícone de microfone, é possível iniciar a gravação de um áudio; [0.4]
2) O áudio é gravado enquanto o botão de microfone estiver pressionado; [0.3]
3) Ao soltar o botão de gravação, o novo áudio incorpora a lista de áudios gravados; [0.3]
</t>
  </si>
  <si>
    <t xml:space="preserve">É possível receber por push notifications a mensagem: “Falta pouco para verificarmos 100% de seu perfil, atualize suas informações!”; </t>
  </si>
  <si>
    <t>1) Ao clicar no ícone de edição, é aberto um modal para a edição da descrição; [0.3]
2) Depois de alterar a descrição pelo campo de texto no modal, ao clicar no botão “Editar”, a nova descrição é persistida na API; [0.5]</t>
  </si>
  <si>
    <t>1) Ao clicar no ícone de lua, o modo dark do app é ativado, trocando o ícone de lua pelo ícone de sol; [0.8]
2) Ao clicar no ícone de sol, o modo light é ativado, trocando o ícone de sol pelo ícone de lua; [0.8]</t>
  </si>
  <si>
    <t>1)Texto: “Contagem regressiva para o novo evento de match!”; [0.2]
2) 3 cards com: horas, minutos e segundos, em formato numérico inteiro; [0.2]
3) Textos descritivos: “Horas”, “Minutos” e “Segundos”; [0.2]</t>
  </si>
  <si>
    <t>1) É possível incluir este widget na área de trabalho do dispositivo; [0.1]
2) A contagem de tempo ocorre de forma regressiva, iniciando de: 20h 43min e 25seg; [1.2]
3) Ao clicar no widget o app é aberto; [0.1]</t>
  </si>
  <si>
    <t>1) O projeto foi entregue dentro do tempo proposto; [0.2]
2) O projeto foi entregue no repositório GIT; [0.2]
2) O repositório possui a nomenclatura 08_Modulo_D1_PI2; [0.2]
3) No repositório exsitem os arquivos do projeto + apk; [0.4]</t>
  </si>
  <si>
    <t>O app foi criado com o nome modulo.d1.pi2.2024</t>
  </si>
  <si>
    <t>Tela inicial</t>
  </si>
  <si>
    <t>Tela de suporte</t>
  </si>
  <si>
    <t>Menu lateral</t>
  </si>
  <si>
    <t>Tela de cadastro de assédio</t>
  </si>
  <si>
    <t>Modal de confirmação</t>
  </si>
  <si>
    <t>1) A aplicação é aberta no modo retrato;[0.1]
2) A tela inicial possui todos os componentes visuais do wireframes;[0.8]
3) Ao fazer o gesto de swipe para a direita, o usuário atual deve dar espaço para o usuário seguinte. Esta ação deve ocorrer 2x; [0.3]
4) Ao fazer o gesto de swipe para a esquerda, o usuário atual deve dar espaço para o usuário seguinte. Esta ação deve ocorrer 1x;[0.3]</t>
  </si>
  <si>
    <t>1) Ao clicar no ícone de menu da tela inicial, um menu drawer abre contendo todos os componentes visuais do wireframes; [0.5]
2) Ao clicar no item “Suporte” você é redirecionado para a tela de suporte; [0.1]</t>
  </si>
  <si>
    <t>1) A tela de suporte possui todos os componentes visuais do wireframes; [0.5]
2) Ao clicar no card “Assédio” o usuário é redirecionado para a tela de cadastro de assédio; [0.1]</t>
  </si>
  <si>
    <t>1) A tela de suporte possui todos os componentes visuais do wireframes; [0.6]
2) Todos os campos do formulário são obrigatórios; [0.1]
3) O Campo local de ocorrência contém todas as cidades do Estado de São Paulo apenas, disponíveis em media-files/estados-cidades.json; [0.6]
4) Ao clicar no botão “Enviar ocorrência”, com algum campo não preenchido aparece uma mensagem de erro para o usuário do tipo Toasty com a mensagem “Todos os campos são obrigatórios”; [0.1]
5) Ao clicar no botão “Enviar ocorrência”, com todos os campos preenchidos, todos os campos são limpos;[0.2]
6) Após 5 segundos do envio da ocorrência com sucesso, um modal de confirmação aparece;[0.2]</t>
  </si>
  <si>
    <t>1) O modal de confirmação possui todos os componentes visuais do wireframes; [0.1]
2) Ao clicar no X o usuário é redirecionado para a tela incial; [0.1]</t>
  </si>
  <si>
    <t>Teste automatizado - tempo de espera</t>
  </si>
  <si>
    <t>Todas as etapas precisam ser mantidas por pelo menos 10 segundos</t>
  </si>
  <si>
    <t>Teste automatizado etapa-1</t>
  </si>
  <si>
    <t>Teste automatizado etapa-2</t>
  </si>
  <si>
    <t>Teste automatizado etapa-3</t>
  </si>
  <si>
    <t>Teste automatizado etapa-4</t>
  </si>
  <si>
    <t>Teste automatizado etapa-5</t>
  </si>
  <si>
    <t>Teste automatizado etapa-6</t>
  </si>
  <si>
    <t>Teste automatizado etapa-7</t>
  </si>
  <si>
    <t>Teste automatizado etapa-8</t>
  </si>
  <si>
    <t>Teste automatizado etapa-9</t>
  </si>
  <si>
    <t>Teste automatizado etapa-10</t>
  </si>
  <si>
    <t>Teste automatizado etapa-11</t>
  </si>
  <si>
    <t>Teste automatizado etapa-12</t>
  </si>
  <si>
    <t>Teste automatizado etapa-13</t>
  </si>
  <si>
    <t>A aplicação inicia normalmente</t>
  </si>
  <si>
    <t>Os gestos swipes nas imagens são executados normalmente</t>
  </si>
  <si>
    <t>O menu drawer abre normalmente</t>
  </si>
  <si>
    <t>O usuário é redirecionado para a tela de suporte</t>
  </si>
  <si>
    <t>O usuário é redirecionado para a tela de assédio</t>
  </si>
  <si>
    <t>A urgência média deverá ficar selecionada</t>
  </si>
  <si>
    <t>A cidade de Holambra deverá ficar selecionada</t>
  </si>
  <si>
    <t>A data 02/04/2024 deverá ser selecionada</t>
  </si>
  <si>
    <t>A opção “Mulher” deverá ficar selecionada</t>
  </si>
  <si>
    <t>Uma mensagem do tipo Toasty deverá aparecer com o texto “Todos os campos são obrigatórios”</t>
  </si>
  <si>
    <t>A mensagem deve ser preenchida com a mensagem fornecida</t>
  </si>
  <si>
    <t>Todos os campos devem ser limpos, um tempo de 5 segundos deve ser aguardado até aparecer um modal de sucesso</t>
  </si>
  <si>
    <t>O modal deverá ser fechado e o usuário deverá ser redirecionado para a tela inicial</t>
  </si>
  <si>
    <t>Candidatos: componentes visuais</t>
  </si>
  <si>
    <t>Candidatos: animações</t>
  </si>
  <si>
    <t>Candidatos: geolocalização</t>
  </si>
  <si>
    <t>Candidatos: ações</t>
  </si>
  <si>
    <t>Candidatos: vídeos</t>
  </si>
  <si>
    <t>Se a possível união estiver um vídeo, ele é reproduzido automaticamente em loop;</t>
  </si>
  <si>
    <t>Candidatos: gestos e movimentos</t>
  </si>
  <si>
    <t>A distância é calculada com a geolocalização do dispositivo em relação aos dados dos candidatos;</t>
  </si>
  <si>
    <t>Candidatos: idioma</t>
  </si>
  <si>
    <t>O idioma do título da tela é trocado automaticamente de acordo com a nacionalidade do(a) candidato(a)</t>
  </si>
  <si>
    <t>Tela da união: componentes visuais</t>
  </si>
  <si>
    <t>Tela da união: gestos</t>
  </si>
  <si>
    <t>Tela da união: animações</t>
  </si>
  <si>
    <t>Tela da união: cronômetro</t>
  </si>
  <si>
    <t>Existe um cronômetro decrescente em segundos no local de cada mensagem com o prazo restante para visualizar a mensagem, através dos dados vindos da API;</t>
  </si>
  <si>
    <t>1) Topo com: Menu de navegação com telas da aplicação; Logotipo;[0.1]
2) Títle da tela;[0.1]
3) Carrossel com fotos da possível união;[0.1]
4) Botão com símbolo de mais (+) para carregar mais informações sobre a possível união;[0.1]
5) Title com nome da possível união;[0.1]
6) Parágrafo com a idade da possível união;[0.1]
7) Parágrafo com a distância, em relação a você, da possível união;[0.1]
8) Botão para descartar união;[0.1]
9) Botão para “Apertar Bochechas”;[0.1]
10) Botão para tentar união.[0.1]</t>
  </si>
  <si>
    <t>1) Title com o texto “Mensagens’; [0.1]
2) Lista com as mensagens recentes do(a) usuário(a) contendo: Foto da união; Primeiros 48 caracteres da última mensagem trocada com a união;  Ícone de cronômetro + tempo restante em segundos; [0.2]</t>
  </si>
  <si>
    <t>1) Ao utilizar o gesto double tap na foto do usuário, o perfil é curtido, trocando para o próximo; [0.2]
2) Ao fazer o gesto de pinça, o usuário consegue dar um zoom na foto da possível união; [0.2]
3) Ao fazer o movimento de “chacoalhar o celular”, a próxima sugestão de união aparece; [0.6]</t>
  </si>
  <si>
    <t>1) A tela é carregada após uma animação de entrada que carrega as mensagens da esquerda para a direita de forma encadeada, utilizando o princípio de Slow Out; [0.2]
2) Ao clicar em uma outra tela, uma animação de saída inversa a de entrada aparece; [0.2]</t>
  </si>
  <si>
    <t>1) A tela é carregada após uma animação de entrada conforme prova; [0.2]
2) Ao clicar no botão “Apertar Bochechas”, deve haver animação do ícone conforme prova; [0.4]
3) Ao clicar em uma outra tela, é exibido uma animação de entrada conforme prova; [0.2]</t>
  </si>
  <si>
    <t>1) É possível recarregar a página com gesto pull-to-refresh para verificar possíveis novas atualizações das uniões; [0.4]
2) Ao clicar na mensagem, ela é considerada como lida na API e o tempo restante desaparece; [0.4]
3) Ao dar um long press em uma mensagem, o usuário pode excluir a mensagem; [0.2]</t>
  </si>
  <si>
    <t>1) As informações dos candidatos são providas do arquivo media-files/C2/candidatos.json; [0.4]
2) Ao clicar no ícone de X, o perfil é recusado, trocando para o próximo; [0.3]
3) Ao clicar no ícone de coração, o perfil é curtido, trocando para o próximo; [0.3]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</si>
</sst>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2" fontId="9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0" borderId="0" xfId="0"/>
    <xf numFmtId="0" fontId="0" fillId="4" borderId="8" xfId="0" applyFill="1" applyBorder="1"/>
    <xf numFmtId="0" fontId="9" fillId="0" borderId="10" xfId="0" applyFont="1" applyBorder="1" applyAlignment="1">
      <alignment horizontal="left" vertical="center"/>
    </xf>
    <xf numFmtId="0" fontId="0" fillId="4" borderId="9" xfId="0" applyFill="1" applyBorder="1"/>
    <xf numFmtId="0" fontId="0" fillId="4" borderId="10" xfId="0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tabSelected="1" workbookViewId="0">
      <selection activeCell="L6" sqref="L6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36" customHeight="1" thickBot="1" x14ac:dyDescent="0.25">
      <c r="C2" s="1"/>
      <c r="E2" s="1"/>
      <c r="J2" s="1"/>
    </row>
    <row r="3" spans="1:11" ht="35.1" customHeight="1" thickBot="1" x14ac:dyDescent="0.25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35.1" customHeight="1" thickBot="1" x14ac:dyDescent="0.25">
      <c r="A4" s="9" t="s">
        <v>2</v>
      </c>
      <c r="B4" s="35" t="s">
        <v>3</v>
      </c>
      <c r="C4" s="36"/>
      <c r="D4" s="36"/>
      <c r="E4" s="36"/>
      <c r="F4" s="36"/>
      <c r="G4" s="36"/>
      <c r="H4" s="37"/>
      <c r="I4" s="10" t="s">
        <v>3</v>
      </c>
      <c r="J4" s="10" t="s">
        <v>4</v>
      </c>
      <c r="K4" s="10" t="s">
        <v>5</v>
      </c>
    </row>
    <row r="5" spans="1:11" ht="24.95" customHeight="1" x14ac:dyDescent="0.2">
      <c r="A5" s="12">
        <v>1</v>
      </c>
      <c r="B5" s="21" t="s">
        <v>56</v>
      </c>
      <c r="C5" s="22"/>
      <c r="D5" s="22"/>
      <c r="E5" s="22"/>
      <c r="F5" s="22"/>
      <c r="G5" s="22"/>
      <c r="H5" s="23"/>
      <c r="I5" s="17">
        <v>8</v>
      </c>
      <c r="J5" s="13">
        <f>SUMIF(I29:I229,A5,K29:K229)</f>
        <v>8.1999999999999993</v>
      </c>
      <c r="K5" s="13">
        <f t="shared" ref="K5:K11" si="0">ABS(I5-J5)</f>
        <v>0.19999999999999929</v>
      </c>
    </row>
    <row r="6" spans="1:11" ht="24.95" customHeight="1" x14ac:dyDescent="0.2">
      <c r="A6" s="12">
        <v>2</v>
      </c>
      <c r="B6" s="21" t="s">
        <v>57</v>
      </c>
      <c r="C6" s="22"/>
      <c r="D6" s="22"/>
      <c r="E6" s="22"/>
      <c r="F6" s="22"/>
      <c r="G6" s="22"/>
      <c r="H6" s="23"/>
      <c r="I6" s="17">
        <v>7</v>
      </c>
      <c r="J6" s="13">
        <f>SUMIF(I29:I229,A6,K29:K229)</f>
        <v>7.2000000000000011</v>
      </c>
      <c r="K6" s="13">
        <f t="shared" si="0"/>
        <v>0.20000000000000107</v>
      </c>
    </row>
    <row r="7" spans="1:11" ht="24.95" customHeight="1" x14ac:dyDescent="0.2">
      <c r="A7" s="12">
        <v>3</v>
      </c>
      <c r="B7" s="21" t="s">
        <v>58</v>
      </c>
      <c r="C7" s="22"/>
      <c r="D7" s="22"/>
      <c r="E7" s="22"/>
      <c r="F7" s="22"/>
      <c r="G7" s="22"/>
      <c r="H7" s="23"/>
      <c r="I7" s="17">
        <v>5</v>
      </c>
      <c r="J7" s="13">
        <f>SUMIF(I29:I229,A7,K29:K229)</f>
        <v>5</v>
      </c>
      <c r="K7" s="13">
        <f t="shared" si="0"/>
        <v>0</v>
      </c>
    </row>
    <row r="8" spans="1:11" ht="24.95" customHeight="1" x14ac:dyDescent="0.2">
      <c r="A8" s="12">
        <v>4</v>
      </c>
      <c r="B8" s="21" t="s">
        <v>59</v>
      </c>
      <c r="C8" s="22"/>
      <c r="D8" s="22"/>
      <c r="E8" s="22"/>
      <c r="F8" s="22"/>
      <c r="G8" s="22"/>
      <c r="H8" s="23"/>
      <c r="I8" s="17">
        <v>25</v>
      </c>
      <c r="J8" s="13">
        <f>SUMIF(I29:I229,A8,K29:K229)</f>
        <v>24.999999999999996</v>
      </c>
      <c r="K8" s="13">
        <f t="shared" si="0"/>
        <v>3.5527136788005009E-15</v>
      </c>
    </row>
    <row r="9" spans="1:11" ht="24.95" customHeight="1" x14ac:dyDescent="0.2">
      <c r="A9" s="12">
        <v>5</v>
      </c>
      <c r="B9" s="21" t="s">
        <v>60</v>
      </c>
      <c r="C9" s="22"/>
      <c r="D9" s="22"/>
      <c r="E9" s="22"/>
      <c r="F9" s="22"/>
      <c r="G9" s="22"/>
      <c r="H9" s="23"/>
      <c r="I9" s="17">
        <v>15</v>
      </c>
      <c r="J9" s="13">
        <f>SUMIF(I29:I229,A9,K29:K229)</f>
        <v>15.1</v>
      </c>
      <c r="K9" s="13">
        <f t="shared" si="0"/>
        <v>9.9999999999999645E-2</v>
      </c>
    </row>
    <row r="10" spans="1:11" ht="24.95" customHeight="1" x14ac:dyDescent="0.2">
      <c r="A10" s="12">
        <v>6</v>
      </c>
      <c r="B10" s="21" t="s">
        <v>61</v>
      </c>
      <c r="C10" s="22"/>
      <c r="D10" s="22"/>
      <c r="E10" s="22"/>
      <c r="F10" s="22"/>
      <c r="G10" s="22"/>
      <c r="H10" s="23"/>
      <c r="I10" s="17">
        <v>30</v>
      </c>
      <c r="J10" s="13">
        <f>SUMIF(I30:I230,A10,K30:K230)</f>
        <v>28.500000000000004</v>
      </c>
      <c r="K10" s="13">
        <f t="shared" ref="K10" si="1">ABS(I10-J10)</f>
        <v>1.4999999999999964</v>
      </c>
    </row>
    <row r="11" spans="1:11" ht="24.95" customHeight="1" thickBot="1" x14ac:dyDescent="0.25">
      <c r="A11" s="14">
        <v>7</v>
      </c>
      <c r="B11" s="24" t="s">
        <v>62</v>
      </c>
      <c r="C11" s="25"/>
      <c r="D11" s="25"/>
      <c r="E11" s="25"/>
      <c r="F11" s="25"/>
      <c r="G11" s="25"/>
      <c r="H11" s="26"/>
      <c r="I11" s="15">
        <v>10</v>
      </c>
      <c r="J11" s="15">
        <f>SUMIF(I29:I229,A11,K29:K229)</f>
        <v>11</v>
      </c>
      <c r="K11" s="15">
        <f t="shared" si="0"/>
        <v>1</v>
      </c>
    </row>
    <row r="12" spans="1:11" ht="24.95" customHeight="1" thickBot="1" x14ac:dyDescent="0.25">
      <c r="C12" s="1"/>
      <c r="E12" s="1"/>
      <c r="I12" s="33" t="s">
        <v>6</v>
      </c>
      <c r="J12" s="34"/>
      <c r="K12" s="15">
        <f>SUM(K5:K11)</f>
        <v>3</v>
      </c>
    </row>
    <row r="13" spans="1:11" ht="20.100000000000001" customHeight="1" x14ac:dyDescent="0.2">
      <c r="C13" s="1"/>
      <c r="E13" s="1"/>
      <c r="I13" s="11"/>
      <c r="J13" s="11"/>
    </row>
    <row r="14" spans="1:11" ht="20.100000000000001" customHeight="1" thickBot="1" x14ac:dyDescent="0.25">
      <c r="C14" s="1"/>
      <c r="E14" s="1"/>
      <c r="I14" s="11"/>
      <c r="J14" s="1"/>
    </row>
    <row r="15" spans="1:11" ht="35.1" customHeight="1" thickBot="1" x14ac:dyDescent="0.25">
      <c r="A15" s="27" t="s">
        <v>7</v>
      </c>
      <c r="B15" s="28"/>
      <c r="C15" s="28"/>
      <c r="D15" s="28"/>
      <c r="E15" s="28"/>
      <c r="F15" s="28"/>
      <c r="G15" s="28"/>
      <c r="H15" s="28"/>
      <c r="I15" s="28"/>
      <c r="J15" s="28"/>
      <c r="K15" s="29"/>
    </row>
    <row r="16" spans="1:11" ht="35.1" customHeight="1" thickBot="1" x14ac:dyDescent="0.25">
      <c r="A16" s="9" t="s">
        <v>8</v>
      </c>
      <c r="B16" s="30" t="s">
        <v>9</v>
      </c>
      <c r="C16" s="31"/>
      <c r="D16" s="31"/>
      <c r="E16" s="31"/>
      <c r="F16" s="31"/>
      <c r="G16" s="31"/>
      <c r="H16" s="31"/>
      <c r="I16" s="31"/>
      <c r="J16" s="32"/>
      <c r="K16" s="9" t="s">
        <v>10</v>
      </c>
    </row>
    <row r="17" spans="1:14" ht="24.95" customHeight="1" x14ac:dyDescent="0.2">
      <c r="A17" s="12" t="s">
        <v>11</v>
      </c>
      <c r="B17" s="21" t="s">
        <v>13</v>
      </c>
      <c r="C17" s="22"/>
      <c r="D17" s="22"/>
      <c r="E17" s="22"/>
      <c r="F17" s="22"/>
      <c r="G17" s="22"/>
      <c r="H17" s="22"/>
      <c r="I17" s="22"/>
      <c r="J17" s="23"/>
      <c r="K17" s="17">
        <v>20</v>
      </c>
    </row>
    <row r="18" spans="1:14" ht="24.95" customHeight="1" x14ac:dyDescent="0.2">
      <c r="A18" s="12" t="s">
        <v>12</v>
      </c>
      <c r="B18" s="21" t="s">
        <v>63</v>
      </c>
      <c r="C18" s="22"/>
      <c r="D18" s="22"/>
      <c r="E18" s="22"/>
      <c r="F18" s="22"/>
      <c r="G18" s="22"/>
      <c r="H18" s="22"/>
      <c r="I18" s="22"/>
      <c r="J18" s="23"/>
      <c r="K18" s="17">
        <v>30</v>
      </c>
    </row>
    <row r="19" spans="1:14" ht="24.95" customHeight="1" x14ac:dyDescent="0.2">
      <c r="A19" s="12" t="s">
        <v>14</v>
      </c>
      <c r="B19" s="21" t="s">
        <v>64</v>
      </c>
      <c r="C19" s="22"/>
      <c r="D19" s="22"/>
      <c r="E19" s="22"/>
      <c r="F19" s="22"/>
      <c r="G19" s="22"/>
      <c r="H19" s="22"/>
      <c r="I19" s="22"/>
      <c r="J19" s="23"/>
      <c r="K19" s="17">
        <v>30</v>
      </c>
    </row>
    <row r="20" spans="1:14" ht="24.95" customHeight="1" x14ac:dyDescent="0.2">
      <c r="A20" s="12" t="s">
        <v>15</v>
      </c>
      <c r="B20" s="21" t="s">
        <v>65</v>
      </c>
      <c r="C20" s="22"/>
      <c r="D20" s="22"/>
      <c r="E20" s="22"/>
      <c r="F20" s="22"/>
      <c r="G20" s="22"/>
      <c r="H20" s="22"/>
      <c r="I20" s="22"/>
      <c r="J20" s="23"/>
      <c r="K20" s="17">
        <v>20</v>
      </c>
    </row>
    <row r="21" spans="1:14" ht="24.95" customHeight="1" x14ac:dyDescent="0.2">
      <c r="A21" s="12" t="s">
        <v>16</v>
      </c>
      <c r="B21" s="21"/>
      <c r="C21" s="22"/>
      <c r="D21" s="22"/>
      <c r="E21" s="22"/>
      <c r="F21" s="22"/>
      <c r="G21" s="22"/>
      <c r="H21" s="22"/>
      <c r="I21" s="22"/>
      <c r="J21" s="23"/>
      <c r="K21" s="17"/>
    </row>
    <row r="22" spans="1:14" ht="24.95" customHeight="1" x14ac:dyDescent="0.2">
      <c r="A22" s="12" t="s">
        <v>17</v>
      </c>
      <c r="B22" s="21"/>
      <c r="C22" s="22"/>
      <c r="D22" s="22"/>
      <c r="E22" s="22"/>
      <c r="F22" s="22"/>
      <c r="G22" s="22"/>
      <c r="H22" s="22"/>
      <c r="I22" s="22"/>
      <c r="J22" s="23"/>
      <c r="K22" s="17"/>
    </row>
    <row r="23" spans="1:14" ht="24.95" customHeight="1" x14ac:dyDescent="0.2">
      <c r="A23" s="12" t="s">
        <v>18</v>
      </c>
      <c r="B23" s="21"/>
      <c r="C23" s="22"/>
      <c r="D23" s="22"/>
      <c r="E23" s="22"/>
      <c r="F23" s="22"/>
      <c r="G23" s="22"/>
      <c r="H23" s="22"/>
      <c r="I23" s="22"/>
      <c r="J23" s="23"/>
      <c r="K23" s="17"/>
    </row>
    <row r="24" spans="1:14" ht="24.95" customHeight="1" x14ac:dyDescent="0.2">
      <c r="A24" s="12" t="s">
        <v>19</v>
      </c>
      <c r="B24" s="21"/>
      <c r="C24" s="22"/>
      <c r="D24" s="22"/>
      <c r="E24" s="22"/>
      <c r="F24" s="22"/>
      <c r="G24" s="22"/>
      <c r="H24" s="22"/>
      <c r="I24" s="22"/>
      <c r="J24" s="23"/>
      <c r="K24" s="17"/>
    </row>
    <row r="25" spans="1:14" ht="24.95" customHeight="1" x14ac:dyDescent="0.2">
      <c r="A25" s="14" t="s">
        <v>20</v>
      </c>
      <c r="B25" s="24"/>
      <c r="C25" s="25"/>
      <c r="D25" s="25"/>
      <c r="E25" s="25"/>
      <c r="F25" s="25"/>
      <c r="G25" s="25"/>
      <c r="H25" s="25"/>
      <c r="I25" s="25"/>
      <c r="J25" s="26"/>
      <c r="K25" s="15"/>
    </row>
    <row r="26" spans="1:14" ht="20.100000000000001" customHeight="1" x14ac:dyDescent="0.2">
      <c r="F26" s="7"/>
      <c r="G26" s="8"/>
      <c r="H26" s="8"/>
      <c r="I26" s="8"/>
      <c r="J26" s="2"/>
    </row>
    <row r="27" spans="1:14" ht="20.100000000000001" customHeight="1" thickBot="1" x14ac:dyDescent="0.25">
      <c r="C27" s="2"/>
      <c r="H27" s="2"/>
      <c r="I27" s="2"/>
      <c r="J27" s="2"/>
    </row>
    <row r="28" spans="1:14" ht="64.5" thickBot="1" x14ac:dyDescent="0.25">
      <c r="A28" s="3" t="s">
        <v>21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 t="s">
        <v>29</v>
      </c>
      <c r="J28" s="3" t="s">
        <v>30</v>
      </c>
      <c r="K28" s="3" t="s">
        <v>31</v>
      </c>
      <c r="L28" s="4" t="s">
        <v>32</v>
      </c>
      <c r="M28" s="5" t="s">
        <v>33</v>
      </c>
      <c r="N28" s="6">
        <f>SUM(K29:K87)</f>
        <v>19.999999999999996</v>
      </c>
    </row>
    <row r="29" spans="1:14" x14ac:dyDescent="0.2">
      <c r="A29" s="12" t="s">
        <v>34</v>
      </c>
      <c r="B29" s="16" t="s">
        <v>41</v>
      </c>
      <c r="C29" s="12">
        <v>1</v>
      </c>
      <c r="D29" s="16" t="s">
        <v>35</v>
      </c>
      <c r="E29" s="16" t="s">
        <v>35</v>
      </c>
      <c r="F29" s="16" t="s">
        <v>35</v>
      </c>
      <c r="G29" s="16" t="s">
        <v>35</v>
      </c>
      <c r="H29" s="16" t="s">
        <v>35</v>
      </c>
      <c r="I29" s="16" t="s">
        <v>35</v>
      </c>
      <c r="J29" s="16" t="s">
        <v>35</v>
      </c>
      <c r="K29" s="16" t="s">
        <v>35</v>
      </c>
    </row>
    <row r="30" spans="1:14" x14ac:dyDescent="0.2">
      <c r="A30" s="12" t="s">
        <v>35</v>
      </c>
      <c r="B30" s="16" t="s">
        <v>35</v>
      </c>
      <c r="C30" s="12" t="s">
        <v>35</v>
      </c>
      <c r="D30" s="12" t="s">
        <v>36</v>
      </c>
      <c r="E30" s="16" t="s">
        <v>101</v>
      </c>
      <c r="F30" s="12" t="s">
        <v>35</v>
      </c>
      <c r="G30" s="16"/>
      <c r="H30" s="16" t="s">
        <v>35</v>
      </c>
      <c r="I30" s="12">
        <v>4</v>
      </c>
      <c r="J30" s="12"/>
      <c r="K30" s="17">
        <v>0.5</v>
      </c>
    </row>
    <row r="31" spans="1:14" x14ac:dyDescent="0.2">
      <c r="A31" s="12" t="s">
        <v>35</v>
      </c>
      <c r="B31" s="16" t="s">
        <v>35</v>
      </c>
      <c r="C31" s="12" t="s">
        <v>35</v>
      </c>
      <c r="D31" s="12" t="s">
        <v>36</v>
      </c>
      <c r="E31" s="20" t="s">
        <v>102</v>
      </c>
      <c r="F31" s="12" t="s">
        <v>35</v>
      </c>
      <c r="G31" s="16"/>
      <c r="H31" s="16" t="s">
        <v>35</v>
      </c>
      <c r="I31" s="12">
        <v>4</v>
      </c>
      <c r="J31" s="12"/>
      <c r="K31" s="17">
        <v>0.5</v>
      </c>
    </row>
    <row r="32" spans="1:14" x14ac:dyDescent="0.2">
      <c r="A32" s="12" t="s">
        <v>35</v>
      </c>
      <c r="B32" s="16" t="s">
        <v>35</v>
      </c>
      <c r="C32" s="12" t="s">
        <v>35</v>
      </c>
      <c r="D32" s="12" t="s">
        <v>36</v>
      </c>
      <c r="E32" s="20" t="s">
        <v>133</v>
      </c>
      <c r="F32" s="12" t="s">
        <v>35</v>
      </c>
      <c r="G32" s="16" t="s">
        <v>103</v>
      </c>
      <c r="H32" s="16" t="s">
        <v>35</v>
      </c>
      <c r="I32" s="12">
        <v>1</v>
      </c>
      <c r="J32" s="12"/>
      <c r="K32" s="17">
        <v>0.1</v>
      </c>
    </row>
    <row r="33" spans="1:11" ht="12.75" customHeight="1" x14ac:dyDescent="0.2">
      <c r="A33" s="12" t="s">
        <v>35</v>
      </c>
      <c r="B33" s="16" t="s">
        <v>35</v>
      </c>
      <c r="C33" s="12" t="s">
        <v>35</v>
      </c>
      <c r="D33" s="12" t="s">
        <v>36</v>
      </c>
      <c r="E33" s="16" t="s">
        <v>106</v>
      </c>
      <c r="F33" s="12" t="s">
        <v>35</v>
      </c>
      <c r="G33" s="20" t="s">
        <v>125</v>
      </c>
      <c r="H33" s="16" t="s">
        <v>35</v>
      </c>
      <c r="I33" s="12">
        <v>4</v>
      </c>
      <c r="J33" s="12"/>
      <c r="K33" s="17">
        <v>0.1</v>
      </c>
    </row>
    <row r="34" spans="1:11" ht="12.75" customHeight="1" x14ac:dyDescent="0.2">
      <c r="A34" s="12" t="s">
        <v>35</v>
      </c>
      <c r="B34" s="16" t="s">
        <v>35</v>
      </c>
      <c r="C34" s="12" t="s">
        <v>35</v>
      </c>
      <c r="D34" s="12" t="s">
        <v>36</v>
      </c>
      <c r="E34" s="16" t="s">
        <v>104</v>
      </c>
      <c r="F34" s="12" t="s">
        <v>35</v>
      </c>
      <c r="G34" s="19" t="s">
        <v>124</v>
      </c>
      <c r="H34" s="16" t="s">
        <v>35</v>
      </c>
      <c r="I34" s="12">
        <v>4</v>
      </c>
      <c r="J34" s="12"/>
      <c r="K34" s="17">
        <v>0.4</v>
      </c>
    </row>
    <row r="35" spans="1:11" ht="12.75" customHeight="1" x14ac:dyDescent="0.2">
      <c r="A35" s="12" t="s">
        <v>35</v>
      </c>
      <c r="B35" s="16" t="s">
        <v>35</v>
      </c>
      <c r="C35" s="12" t="s">
        <v>35</v>
      </c>
      <c r="D35" s="12" t="s">
        <v>36</v>
      </c>
      <c r="E35" s="16" t="s">
        <v>107</v>
      </c>
      <c r="F35" s="12" t="s">
        <v>35</v>
      </c>
      <c r="G35" s="19" t="s">
        <v>128</v>
      </c>
      <c r="H35" s="16" t="s">
        <v>35</v>
      </c>
      <c r="I35" s="12">
        <v>4</v>
      </c>
      <c r="J35" s="12"/>
      <c r="K35" s="17">
        <v>0.3</v>
      </c>
    </row>
    <row r="36" spans="1:11" ht="12.75" customHeight="1" x14ac:dyDescent="0.2">
      <c r="A36" s="12" t="s">
        <v>35</v>
      </c>
      <c r="B36" s="16" t="s">
        <v>35</v>
      </c>
      <c r="C36" s="12" t="s">
        <v>35</v>
      </c>
      <c r="D36" s="12" t="s">
        <v>36</v>
      </c>
      <c r="E36" s="16" t="s">
        <v>105</v>
      </c>
      <c r="F36" s="12" t="s">
        <v>35</v>
      </c>
      <c r="G36" s="19" t="s">
        <v>122</v>
      </c>
      <c r="H36" s="16" t="s">
        <v>35</v>
      </c>
      <c r="I36" s="12">
        <v>4</v>
      </c>
      <c r="J36" s="12"/>
      <c r="K36" s="17">
        <v>0.6</v>
      </c>
    </row>
    <row r="37" spans="1:11" ht="12.75" customHeight="1" x14ac:dyDescent="0.2">
      <c r="A37" s="12" t="s">
        <v>35</v>
      </c>
      <c r="B37" s="16" t="s">
        <v>35</v>
      </c>
      <c r="C37" s="12" t="s">
        <v>35</v>
      </c>
      <c r="D37" s="12" t="s">
        <v>36</v>
      </c>
      <c r="E37" s="16" t="s">
        <v>108</v>
      </c>
      <c r="F37" s="12" t="s">
        <v>35</v>
      </c>
      <c r="G37" s="19" t="s">
        <v>129</v>
      </c>
      <c r="H37" s="16" t="s">
        <v>35</v>
      </c>
      <c r="I37" s="12">
        <v>4</v>
      </c>
      <c r="J37" s="12"/>
      <c r="K37" s="17">
        <v>0.3</v>
      </c>
    </row>
    <row r="38" spans="1:11" ht="12.75" customHeight="1" x14ac:dyDescent="0.2">
      <c r="A38" s="12" t="s">
        <v>35</v>
      </c>
      <c r="B38" s="16" t="s">
        <v>35</v>
      </c>
      <c r="C38" s="12" t="s">
        <v>35</v>
      </c>
      <c r="D38" s="12" t="s">
        <v>36</v>
      </c>
      <c r="E38" s="16" t="s">
        <v>109</v>
      </c>
      <c r="F38" s="12" t="s">
        <v>35</v>
      </c>
      <c r="G38" s="19" t="s">
        <v>123</v>
      </c>
      <c r="H38" s="16" t="s">
        <v>35</v>
      </c>
      <c r="I38" s="12">
        <v>4</v>
      </c>
      <c r="J38" s="12"/>
      <c r="K38" s="17">
        <v>0.4</v>
      </c>
    </row>
    <row r="39" spans="1:11" ht="12.75" customHeight="1" x14ac:dyDescent="0.2">
      <c r="A39" s="12" t="s">
        <v>35</v>
      </c>
      <c r="B39" s="16" t="s">
        <v>35</v>
      </c>
      <c r="C39" s="12" t="s">
        <v>35</v>
      </c>
      <c r="D39" s="12" t="s">
        <v>36</v>
      </c>
      <c r="E39" s="20" t="s">
        <v>110</v>
      </c>
      <c r="F39" s="12" t="s">
        <v>35</v>
      </c>
      <c r="G39" s="19" t="s">
        <v>119</v>
      </c>
      <c r="H39" s="16" t="s">
        <v>35</v>
      </c>
      <c r="I39" s="12">
        <v>4</v>
      </c>
      <c r="J39" s="12"/>
      <c r="K39" s="17">
        <v>0.7</v>
      </c>
    </row>
    <row r="40" spans="1:11" ht="12.75" customHeight="1" x14ac:dyDescent="0.2">
      <c r="A40" s="12" t="s">
        <v>35</v>
      </c>
      <c r="B40" s="16" t="s">
        <v>35</v>
      </c>
      <c r="C40" s="12" t="s">
        <v>35</v>
      </c>
      <c r="D40" s="12" t="s">
        <v>36</v>
      </c>
      <c r="E40" s="20" t="s">
        <v>111</v>
      </c>
      <c r="F40" s="12" t="s">
        <v>35</v>
      </c>
      <c r="G40" s="19" t="s">
        <v>120</v>
      </c>
      <c r="H40" s="16" t="s">
        <v>35</v>
      </c>
      <c r="I40" s="12">
        <v>4</v>
      </c>
      <c r="J40" s="12"/>
      <c r="K40" s="17">
        <v>0.5</v>
      </c>
    </row>
    <row r="41" spans="1:11" ht="12.75" customHeight="1" x14ac:dyDescent="0.2">
      <c r="A41" s="12" t="s">
        <v>35</v>
      </c>
      <c r="B41" s="16" t="s">
        <v>35</v>
      </c>
      <c r="C41" s="12" t="s">
        <v>35</v>
      </c>
      <c r="D41" s="12" t="s">
        <v>36</v>
      </c>
      <c r="E41" s="20" t="s">
        <v>112</v>
      </c>
      <c r="F41" s="12" t="s">
        <v>35</v>
      </c>
      <c r="G41" s="19" t="s">
        <v>130</v>
      </c>
      <c r="H41" s="16" t="s">
        <v>35</v>
      </c>
      <c r="I41" s="12">
        <v>4</v>
      </c>
      <c r="J41" s="12"/>
      <c r="K41" s="17">
        <v>0.6</v>
      </c>
    </row>
    <row r="42" spans="1:11" ht="12.75" customHeight="1" x14ac:dyDescent="0.2">
      <c r="A42" s="12" t="s">
        <v>35</v>
      </c>
      <c r="B42" s="16" t="s">
        <v>35</v>
      </c>
      <c r="C42" s="12" t="s">
        <v>35</v>
      </c>
      <c r="D42" s="12" t="s">
        <v>36</v>
      </c>
      <c r="E42" s="20" t="s">
        <v>113</v>
      </c>
      <c r="F42" s="12" t="s">
        <v>35</v>
      </c>
      <c r="G42" s="19" t="s">
        <v>118</v>
      </c>
      <c r="H42" s="16" t="s">
        <v>35</v>
      </c>
      <c r="I42" s="12">
        <v>4</v>
      </c>
      <c r="J42" s="12"/>
      <c r="K42" s="17">
        <v>1.2</v>
      </c>
    </row>
    <row r="43" spans="1:11" ht="12.75" customHeight="1" x14ac:dyDescent="0.2">
      <c r="A43" s="12" t="s">
        <v>35</v>
      </c>
      <c r="B43" s="16" t="s">
        <v>35</v>
      </c>
      <c r="C43" s="12" t="s">
        <v>35</v>
      </c>
      <c r="D43" s="12" t="s">
        <v>36</v>
      </c>
      <c r="E43" s="20" t="s">
        <v>114</v>
      </c>
      <c r="F43" s="12" t="s">
        <v>35</v>
      </c>
      <c r="G43" s="19" t="s">
        <v>131</v>
      </c>
      <c r="H43" s="16" t="s">
        <v>35</v>
      </c>
      <c r="I43" s="12">
        <v>4</v>
      </c>
      <c r="J43" s="12"/>
      <c r="K43" s="17">
        <v>0.5</v>
      </c>
    </row>
    <row r="44" spans="1:11" ht="12.75" customHeight="1" x14ac:dyDescent="0.2">
      <c r="A44" s="12" t="s">
        <v>35</v>
      </c>
      <c r="B44" s="16" t="s">
        <v>35</v>
      </c>
      <c r="C44" s="12" t="s">
        <v>35</v>
      </c>
      <c r="D44" s="12" t="s">
        <v>36</v>
      </c>
      <c r="E44" s="20" t="s">
        <v>115</v>
      </c>
      <c r="F44" s="12" t="s">
        <v>35</v>
      </c>
      <c r="G44" s="19" t="s">
        <v>121</v>
      </c>
      <c r="H44" s="16" t="s">
        <v>35</v>
      </c>
      <c r="I44" s="12">
        <v>4</v>
      </c>
      <c r="J44" s="12"/>
      <c r="K44" s="17">
        <v>0.4</v>
      </c>
    </row>
    <row r="45" spans="1:11" ht="12.75" customHeight="1" x14ac:dyDescent="0.2">
      <c r="A45" s="12" t="s">
        <v>35</v>
      </c>
      <c r="B45" s="16" t="s">
        <v>35</v>
      </c>
      <c r="C45" s="12" t="s">
        <v>35</v>
      </c>
      <c r="D45" s="12" t="s">
        <v>36</v>
      </c>
      <c r="E45" s="20" t="s">
        <v>116</v>
      </c>
      <c r="F45" s="12" t="s">
        <v>35</v>
      </c>
      <c r="G45" s="19" t="s">
        <v>126</v>
      </c>
      <c r="H45" s="16" t="s">
        <v>35</v>
      </c>
      <c r="I45" s="12">
        <v>4</v>
      </c>
      <c r="J45" s="12"/>
      <c r="K45" s="17">
        <v>0.3</v>
      </c>
    </row>
    <row r="46" spans="1:11" ht="12.75" customHeight="1" x14ac:dyDescent="0.2">
      <c r="A46" s="12" t="s">
        <v>35</v>
      </c>
      <c r="B46" s="16" t="s">
        <v>35</v>
      </c>
      <c r="C46" s="12" t="s">
        <v>35</v>
      </c>
      <c r="D46" s="12" t="s">
        <v>36</v>
      </c>
      <c r="E46" s="20" t="s">
        <v>117</v>
      </c>
      <c r="F46" s="12" t="s">
        <v>35</v>
      </c>
      <c r="G46" s="19" t="s">
        <v>127</v>
      </c>
      <c r="H46" s="16" t="s">
        <v>35</v>
      </c>
      <c r="I46" s="12">
        <v>4</v>
      </c>
      <c r="J46" s="12"/>
      <c r="K46" s="17">
        <v>0.6</v>
      </c>
    </row>
    <row r="47" spans="1:11" x14ac:dyDescent="0.2">
      <c r="A47" s="12" t="s">
        <v>35</v>
      </c>
      <c r="B47" s="16" t="s">
        <v>35</v>
      </c>
      <c r="C47" s="12" t="s">
        <v>35</v>
      </c>
      <c r="D47" s="12" t="s">
        <v>37</v>
      </c>
      <c r="E47" s="16" t="s">
        <v>77</v>
      </c>
      <c r="F47" s="12" t="s">
        <v>35</v>
      </c>
      <c r="G47" s="16" t="s">
        <v>35</v>
      </c>
      <c r="H47" s="16" t="s">
        <v>35</v>
      </c>
      <c r="I47" s="12">
        <v>4</v>
      </c>
      <c r="J47" s="12"/>
      <c r="K47" s="17">
        <v>1</v>
      </c>
    </row>
    <row r="48" spans="1:11" x14ac:dyDescent="0.2">
      <c r="A48" s="12" t="s">
        <v>35</v>
      </c>
      <c r="B48" s="16" t="s">
        <v>35</v>
      </c>
      <c r="C48" s="12" t="s">
        <v>35</v>
      </c>
      <c r="D48" s="12" t="s">
        <v>35</v>
      </c>
      <c r="E48" s="16" t="s">
        <v>35</v>
      </c>
      <c r="F48" s="12">
        <v>0</v>
      </c>
      <c r="G48" s="16" t="s">
        <v>80</v>
      </c>
      <c r="H48" s="16" t="s">
        <v>35</v>
      </c>
      <c r="I48" s="12"/>
      <c r="J48" s="12"/>
      <c r="K48" s="17"/>
    </row>
    <row r="49" spans="1:11" x14ac:dyDescent="0.2">
      <c r="A49" s="12" t="s">
        <v>35</v>
      </c>
      <c r="B49" s="16" t="s">
        <v>35</v>
      </c>
      <c r="C49" s="12" t="s">
        <v>35</v>
      </c>
      <c r="D49" s="12" t="s">
        <v>35</v>
      </c>
      <c r="E49" s="16" t="s">
        <v>35</v>
      </c>
      <c r="F49" s="12">
        <v>1</v>
      </c>
      <c r="G49" s="16" t="s">
        <v>81</v>
      </c>
      <c r="H49" s="16" t="s">
        <v>35</v>
      </c>
      <c r="I49" s="12"/>
      <c r="J49" s="12"/>
      <c r="K49" s="17"/>
    </row>
    <row r="50" spans="1:11" x14ac:dyDescent="0.2">
      <c r="A50" s="12"/>
      <c r="B50" s="16" t="s">
        <v>35</v>
      </c>
      <c r="C50" s="12" t="s">
        <v>35</v>
      </c>
      <c r="D50" s="12" t="s">
        <v>35</v>
      </c>
      <c r="E50" s="16" t="s">
        <v>35</v>
      </c>
      <c r="F50" s="12">
        <v>2</v>
      </c>
      <c r="G50" s="16" t="s">
        <v>78</v>
      </c>
      <c r="H50" s="16" t="s">
        <v>35</v>
      </c>
      <c r="I50" s="12"/>
      <c r="J50" s="12"/>
      <c r="K50" s="17"/>
    </row>
    <row r="51" spans="1:11" x14ac:dyDescent="0.2">
      <c r="A51" s="12" t="s">
        <v>35</v>
      </c>
      <c r="B51" s="16" t="s">
        <v>35</v>
      </c>
      <c r="C51" s="12" t="s">
        <v>35</v>
      </c>
      <c r="D51" s="12" t="s">
        <v>35</v>
      </c>
      <c r="E51" s="16" t="s">
        <v>35</v>
      </c>
      <c r="F51" s="12">
        <v>3</v>
      </c>
      <c r="G51" s="16" t="s">
        <v>79</v>
      </c>
      <c r="H51" s="16" t="s">
        <v>35</v>
      </c>
      <c r="I51" s="12"/>
      <c r="J51" s="12"/>
      <c r="K51" s="17"/>
    </row>
    <row r="52" spans="1:11" x14ac:dyDescent="0.2">
      <c r="A52" s="12" t="s">
        <v>35</v>
      </c>
      <c r="B52" s="16" t="s">
        <v>35</v>
      </c>
      <c r="C52" s="12" t="s">
        <v>35</v>
      </c>
      <c r="D52" s="12" t="s">
        <v>37</v>
      </c>
      <c r="E52" s="16" t="s">
        <v>82</v>
      </c>
      <c r="F52" s="12" t="s">
        <v>35</v>
      </c>
      <c r="G52" s="16" t="s">
        <v>35</v>
      </c>
      <c r="H52" s="16" t="s">
        <v>35</v>
      </c>
      <c r="I52" s="12">
        <v>4</v>
      </c>
      <c r="J52" s="12"/>
      <c r="K52" s="17">
        <v>1</v>
      </c>
    </row>
    <row r="53" spans="1:11" x14ac:dyDescent="0.2">
      <c r="A53" s="12" t="s">
        <v>35</v>
      </c>
      <c r="B53" s="16" t="s">
        <v>35</v>
      </c>
      <c r="C53" s="12" t="s">
        <v>35</v>
      </c>
      <c r="D53" s="12" t="s">
        <v>35</v>
      </c>
      <c r="E53" s="16" t="s">
        <v>35</v>
      </c>
      <c r="F53" s="12">
        <v>0</v>
      </c>
      <c r="G53" s="16" t="s">
        <v>83</v>
      </c>
      <c r="H53" s="16" t="s">
        <v>35</v>
      </c>
      <c r="I53" s="12"/>
      <c r="J53" s="12"/>
      <c r="K53" s="17"/>
    </row>
    <row r="54" spans="1:11" x14ac:dyDescent="0.2">
      <c r="A54" s="12" t="s">
        <v>35</v>
      </c>
      <c r="B54" s="16" t="s">
        <v>35</v>
      </c>
      <c r="C54" s="12" t="s">
        <v>35</v>
      </c>
      <c r="D54" s="12" t="s">
        <v>35</v>
      </c>
      <c r="E54" s="16" t="s">
        <v>35</v>
      </c>
      <c r="F54" s="12">
        <v>1</v>
      </c>
      <c r="G54" s="16" t="s">
        <v>84</v>
      </c>
      <c r="H54" s="16" t="s">
        <v>35</v>
      </c>
      <c r="I54" s="12"/>
      <c r="J54" s="12"/>
      <c r="K54" s="17"/>
    </row>
    <row r="55" spans="1:11" x14ac:dyDescent="0.2">
      <c r="A55" s="12" t="s">
        <v>35</v>
      </c>
      <c r="B55" s="16" t="s">
        <v>35</v>
      </c>
      <c r="C55" s="12" t="s">
        <v>35</v>
      </c>
      <c r="D55" s="12" t="s">
        <v>35</v>
      </c>
      <c r="E55" s="16" t="s">
        <v>35</v>
      </c>
      <c r="F55" s="12">
        <v>2</v>
      </c>
      <c r="G55" s="16" t="s">
        <v>85</v>
      </c>
      <c r="H55" s="16" t="s">
        <v>35</v>
      </c>
      <c r="I55" s="12"/>
      <c r="J55" s="12"/>
      <c r="K55" s="17"/>
    </row>
    <row r="56" spans="1:11" x14ac:dyDescent="0.2">
      <c r="A56" s="12" t="s">
        <v>35</v>
      </c>
      <c r="B56" s="16" t="s">
        <v>35</v>
      </c>
      <c r="C56" s="12" t="s">
        <v>35</v>
      </c>
      <c r="D56" s="12" t="s">
        <v>35</v>
      </c>
      <c r="E56" s="16" t="s">
        <v>35</v>
      </c>
      <c r="F56" s="12">
        <v>3</v>
      </c>
      <c r="G56" s="16" t="s">
        <v>86</v>
      </c>
      <c r="H56" s="16" t="s">
        <v>35</v>
      </c>
      <c r="I56" s="12"/>
      <c r="J56" s="12"/>
      <c r="K56" s="17"/>
    </row>
    <row r="57" spans="1:11" x14ac:dyDescent="0.2">
      <c r="A57" s="12" t="s">
        <v>38</v>
      </c>
      <c r="B57" s="16" t="s">
        <v>43</v>
      </c>
      <c r="C57" s="12">
        <v>1</v>
      </c>
      <c r="D57" s="16" t="s">
        <v>35</v>
      </c>
      <c r="E57" s="16" t="s">
        <v>35</v>
      </c>
      <c r="F57" s="16" t="s">
        <v>35</v>
      </c>
      <c r="G57" s="16" t="s">
        <v>35</v>
      </c>
      <c r="H57" s="16" t="s">
        <v>35</v>
      </c>
      <c r="I57" s="16" t="s">
        <v>35</v>
      </c>
      <c r="J57" s="16" t="s">
        <v>35</v>
      </c>
      <c r="K57" s="16" t="s">
        <v>35</v>
      </c>
    </row>
    <row r="58" spans="1:11" x14ac:dyDescent="0.2">
      <c r="A58" s="12" t="s">
        <v>35</v>
      </c>
      <c r="B58" s="16" t="s">
        <v>35</v>
      </c>
      <c r="C58" s="12" t="s">
        <v>35</v>
      </c>
      <c r="D58" s="12" t="s">
        <v>36</v>
      </c>
      <c r="E58" s="20" t="s">
        <v>102</v>
      </c>
      <c r="F58" s="12"/>
      <c r="G58" s="16"/>
      <c r="H58" s="16" t="s">
        <v>35</v>
      </c>
      <c r="I58" s="12">
        <v>2</v>
      </c>
      <c r="J58" s="12"/>
      <c r="K58" s="17">
        <v>0.5</v>
      </c>
    </row>
    <row r="59" spans="1:11" x14ac:dyDescent="0.2">
      <c r="A59" s="12" t="s">
        <v>35</v>
      </c>
      <c r="B59" s="16" t="s">
        <v>35</v>
      </c>
      <c r="C59" s="12" t="s">
        <v>35</v>
      </c>
      <c r="D59" s="12" t="s">
        <v>36</v>
      </c>
      <c r="E59" s="20" t="s">
        <v>133</v>
      </c>
      <c r="F59" s="12"/>
      <c r="G59" s="20" t="s">
        <v>132</v>
      </c>
      <c r="H59" s="16" t="s">
        <v>35</v>
      </c>
      <c r="I59" s="12">
        <v>1</v>
      </c>
      <c r="J59" s="12"/>
      <c r="K59" s="17">
        <v>0.1</v>
      </c>
    </row>
    <row r="60" spans="1:11" x14ac:dyDescent="0.2">
      <c r="A60" s="12"/>
      <c r="B60" s="16" t="s">
        <v>35</v>
      </c>
      <c r="C60" s="12" t="s">
        <v>35</v>
      </c>
      <c r="D60" s="12" t="s">
        <v>36</v>
      </c>
      <c r="E60" s="20" t="s">
        <v>106</v>
      </c>
      <c r="F60" s="12"/>
      <c r="G60" s="20" t="s">
        <v>146</v>
      </c>
      <c r="H60" s="16" t="s">
        <v>35</v>
      </c>
      <c r="I60" s="12">
        <v>2</v>
      </c>
      <c r="J60" s="12"/>
      <c r="K60" s="17">
        <v>0.05</v>
      </c>
    </row>
    <row r="61" spans="1:11" ht="12.75" customHeight="1" x14ac:dyDescent="0.2">
      <c r="A61" s="12"/>
      <c r="B61" s="16" t="s">
        <v>35</v>
      </c>
      <c r="C61" s="12" t="s">
        <v>35</v>
      </c>
      <c r="D61" s="12" t="s">
        <v>36</v>
      </c>
      <c r="E61" s="20" t="s">
        <v>104</v>
      </c>
      <c r="F61" s="12"/>
      <c r="G61" s="19" t="s">
        <v>158</v>
      </c>
      <c r="H61" s="16" t="s">
        <v>35</v>
      </c>
      <c r="I61" s="12">
        <v>2</v>
      </c>
      <c r="J61" s="12"/>
      <c r="K61" s="17">
        <v>0.6</v>
      </c>
    </row>
    <row r="62" spans="1:11" ht="12.75" customHeight="1" x14ac:dyDescent="0.2">
      <c r="A62" s="12"/>
      <c r="B62" s="16" t="s">
        <v>35</v>
      </c>
      <c r="C62" s="12" t="s">
        <v>35</v>
      </c>
      <c r="D62" s="12" t="s">
        <v>36</v>
      </c>
      <c r="E62" s="20" t="s">
        <v>108</v>
      </c>
      <c r="F62" s="12"/>
      <c r="G62" s="19" t="s">
        <v>147</v>
      </c>
      <c r="H62" s="16" t="s">
        <v>35</v>
      </c>
      <c r="I62" s="12">
        <v>2</v>
      </c>
      <c r="J62" s="12"/>
      <c r="K62" s="17">
        <v>0.25</v>
      </c>
    </row>
    <row r="63" spans="1:11" ht="12.75" customHeight="1" x14ac:dyDescent="0.2">
      <c r="A63" s="12"/>
      <c r="B63" s="16" t="s">
        <v>35</v>
      </c>
      <c r="C63" s="12" t="s">
        <v>35</v>
      </c>
      <c r="D63" s="12" t="s">
        <v>36</v>
      </c>
      <c r="E63" s="20" t="s">
        <v>109</v>
      </c>
      <c r="F63" s="12"/>
      <c r="G63" s="19" t="s">
        <v>157</v>
      </c>
      <c r="H63" s="16" t="s">
        <v>35</v>
      </c>
      <c r="I63" s="12">
        <v>2</v>
      </c>
      <c r="J63" s="12"/>
      <c r="K63" s="17">
        <v>0.6</v>
      </c>
    </row>
    <row r="64" spans="1:11" ht="12.75" customHeight="1" x14ac:dyDescent="0.2">
      <c r="A64" s="12"/>
      <c r="B64" s="16" t="s">
        <v>35</v>
      </c>
      <c r="C64" s="12" t="s">
        <v>35</v>
      </c>
      <c r="D64" s="12" t="s">
        <v>36</v>
      </c>
      <c r="E64" s="20" t="s">
        <v>134</v>
      </c>
      <c r="F64" s="12"/>
      <c r="G64" s="19" t="s">
        <v>148</v>
      </c>
      <c r="H64" s="16" t="s">
        <v>35</v>
      </c>
      <c r="I64" s="12">
        <v>2</v>
      </c>
      <c r="J64" s="12"/>
      <c r="K64" s="17">
        <v>0.4</v>
      </c>
    </row>
    <row r="65" spans="1:11" ht="12.75" customHeight="1" x14ac:dyDescent="0.2">
      <c r="A65" s="12"/>
      <c r="B65" s="16" t="s">
        <v>35</v>
      </c>
      <c r="C65" s="12" t="s">
        <v>35</v>
      </c>
      <c r="D65" s="12" t="s">
        <v>36</v>
      </c>
      <c r="E65" s="20" t="s">
        <v>135</v>
      </c>
      <c r="F65" s="12"/>
      <c r="G65" s="19" t="s">
        <v>156</v>
      </c>
      <c r="H65" s="16" t="s">
        <v>35</v>
      </c>
      <c r="I65" s="12">
        <v>2</v>
      </c>
      <c r="J65" s="12"/>
      <c r="K65" s="17">
        <v>0.9</v>
      </c>
    </row>
    <row r="66" spans="1:11" ht="12.75" customHeight="1" x14ac:dyDescent="0.2">
      <c r="A66" s="12"/>
      <c r="B66" s="16"/>
      <c r="C66" s="12"/>
      <c r="D66" s="12" t="s">
        <v>36</v>
      </c>
      <c r="E66" s="20" t="s">
        <v>136</v>
      </c>
      <c r="F66" s="12"/>
      <c r="G66" s="19" t="s">
        <v>149</v>
      </c>
      <c r="H66" s="16"/>
      <c r="I66" s="12">
        <v>2</v>
      </c>
      <c r="J66" s="12"/>
      <c r="K66" s="17">
        <v>0.2</v>
      </c>
    </row>
    <row r="67" spans="1:11" ht="12.75" customHeight="1" x14ac:dyDescent="0.2">
      <c r="A67" s="12"/>
      <c r="B67" s="16"/>
      <c r="C67" s="12"/>
      <c r="D67" s="12" t="s">
        <v>36</v>
      </c>
      <c r="E67" s="20" t="s">
        <v>137</v>
      </c>
      <c r="F67" s="12"/>
      <c r="G67" s="19" t="s">
        <v>155</v>
      </c>
      <c r="H67" s="16"/>
      <c r="I67" s="12">
        <v>2</v>
      </c>
      <c r="J67" s="12"/>
      <c r="K67" s="17">
        <v>0.7</v>
      </c>
    </row>
    <row r="68" spans="1:11" ht="12.75" customHeight="1" x14ac:dyDescent="0.2">
      <c r="A68" s="12"/>
      <c r="B68" s="16"/>
      <c r="C68" s="12"/>
      <c r="D68" s="12" t="s">
        <v>36</v>
      </c>
      <c r="E68" s="20" t="s">
        <v>138</v>
      </c>
      <c r="F68" s="12"/>
      <c r="G68" s="19" t="s">
        <v>150</v>
      </c>
      <c r="H68" s="16"/>
      <c r="I68" s="12">
        <v>2</v>
      </c>
      <c r="J68" s="12"/>
      <c r="K68" s="17">
        <v>0.25</v>
      </c>
    </row>
    <row r="69" spans="1:11" ht="12.75" customHeight="1" x14ac:dyDescent="0.2">
      <c r="A69" s="12"/>
      <c r="B69" s="16"/>
      <c r="C69" s="12"/>
      <c r="D69" s="12" t="s">
        <v>36</v>
      </c>
      <c r="E69" s="20" t="s">
        <v>139</v>
      </c>
      <c r="F69" s="12"/>
      <c r="G69" s="19" t="s">
        <v>161</v>
      </c>
      <c r="H69" s="16"/>
      <c r="I69" s="12">
        <v>2</v>
      </c>
      <c r="J69" s="12"/>
      <c r="K69" s="17">
        <v>0.65</v>
      </c>
    </row>
    <row r="70" spans="1:11" ht="12.75" customHeight="1" x14ac:dyDescent="0.2">
      <c r="A70" s="12"/>
      <c r="B70" s="16"/>
      <c r="C70" s="12"/>
      <c r="D70" s="12" t="s">
        <v>36</v>
      </c>
      <c r="E70" s="20" t="s">
        <v>140</v>
      </c>
      <c r="F70" s="12"/>
      <c r="G70" s="19" t="s">
        <v>151</v>
      </c>
      <c r="H70" s="16"/>
      <c r="I70" s="12">
        <v>2</v>
      </c>
      <c r="J70" s="12"/>
      <c r="K70" s="17">
        <v>0.4</v>
      </c>
    </row>
    <row r="71" spans="1:11" ht="12.75" customHeight="1" x14ac:dyDescent="0.2">
      <c r="A71" s="12"/>
      <c r="B71" s="16"/>
      <c r="C71" s="12"/>
      <c r="D71" s="12" t="s">
        <v>36</v>
      </c>
      <c r="E71" s="20" t="s">
        <v>141</v>
      </c>
      <c r="F71" s="12"/>
      <c r="G71" s="19" t="s">
        <v>154</v>
      </c>
      <c r="H71" s="16"/>
      <c r="I71" s="12">
        <v>2</v>
      </c>
      <c r="J71" s="12"/>
      <c r="K71" s="17">
        <v>0.6</v>
      </c>
    </row>
    <row r="72" spans="1:11" ht="12.75" customHeight="1" x14ac:dyDescent="0.2">
      <c r="A72" s="12"/>
      <c r="B72" s="16"/>
      <c r="C72" s="12"/>
      <c r="D72" s="12" t="s">
        <v>36</v>
      </c>
      <c r="E72" s="20" t="s">
        <v>142</v>
      </c>
      <c r="F72" s="12"/>
      <c r="G72" s="19" t="s">
        <v>152</v>
      </c>
      <c r="H72" s="16"/>
      <c r="I72" s="12">
        <v>2</v>
      </c>
      <c r="J72" s="12"/>
      <c r="K72" s="17">
        <v>0.15</v>
      </c>
    </row>
    <row r="73" spans="1:11" ht="12.75" customHeight="1" x14ac:dyDescent="0.2">
      <c r="A73" s="12"/>
      <c r="B73" s="16"/>
      <c r="C73" s="12"/>
      <c r="D73" s="12" t="s">
        <v>36</v>
      </c>
      <c r="E73" s="20" t="s">
        <v>143</v>
      </c>
      <c r="F73" s="12"/>
      <c r="G73" s="19" t="s">
        <v>159</v>
      </c>
      <c r="H73" s="16"/>
      <c r="I73" s="12">
        <v>2</v>
      </c>
      <c r="J73" s="12"/>
      <c r="K73" s="17">
        <v>0.8</v>
      </c>
    </row>
    <row r="74" spans="1:11" ht="12.75" customHeight="1" x14ac:dyDescent="0.2">
      <c r="A74" s="12"/>
      <c r="B74" s="16"/>
      <c r="C74" s="12"/>
      <c r="D74" s="12" t="s">
        <v>36</v>
      </c>
      <c r="E74" s="20" t="s">
        <v>144</v>
      </c>
      <c r="F74" s="12"/>
      <c r="G74" s="19" t="s">
        <v>153</v>
      </c>
      <c r="H74" s="16"/>
      <c r="I74" s="12">
        <v>2</v>
      </c>
      <c r="J74" s="12"/>
      <c r="K74" s="17">
        <v>0.15</v>
      </c>
    </row>
    <row r="75" spans="1:11" ht="12.75" customHeight="1" x14ac:dyDescent="0.2">
      <c r="A75" s="12"/>
      <c r="B75" s="16" t="s">
        <v>35</v>
      </c>
      <c r="C75" s="12" t="s">
        <v>35</v>
      </c>
      <c r="D75" s="12" t="s">
        <v>36</v>
      </c>
      <c r="E75" s="20" t="s">
        <v>145</v>
      </c>
      <c r="F75" s="12"/>
      <c r="G75" s="19" t="s">
        <v>160</v>
      </c>
      <c r="H75" s="16" t="s">
        <v>35</v>
      </c>
      <c r="I75" s="12">
        <v>4</v>
      </c>
      <c r="J75" s="12"/>
      <c r="K75" s="17">
        <v>0.7</v>
      </c>
    </row>
    <row r="76" spans="1:11" x14ac:dyDescent="0.2">
      <c r="A76" s="12"/>
      <c r="B76" s="16" t="s">
        <v>35</v>
      </c>
      <c r="C76" s="12" t="s">
        <v>35</v>
      </c>
      <c r="D76" s="12" t="s">
        <v>37</v>
      </c>
      <c r="E76" s="16" t="s">
        <v>77</v>
      </c>
      <c r="F76" s="12" t="s">
        <v>35</v>
      </c>
      <c r="G76" s="16" t="s">
        <v>35</v>
      </c>
      <c r="H76" s="16" t="s">
        <v>35</v>
      </c>
      <c r="I76" s="12">
        <v>4</v>
      </c>
      <c r="J76" s="12"/>
      <c r="K76" s="17">
        <v>1</v>
      </c>
    </row>
    <row r="77" spans="1:11" x14ac:dyDescent="0.2">
      <c r="A77" s="12"/>
      <c r="B77" s="16" t="s">
        <v>35</v>
      </c>
      <c r="C77" s="12" t="s">
        <v>35</v>
      </c>
      <c r="D77" s="12" t="s">
        <v>35</v>
      </c>
      <c r="E77" s="16" t="s">
        <v>35</v>
      </c>
      <c r="F77" s="12">
        <v>0</v>
      </c>
      <c r="G77" s="16" t="s">
        <v>80</v>
      </c>
      <c r="H77" s="16" t="s">
        <v>35</v>
      </c>
      <c r="I77" s="12"/>
      <c r="J77" s="12"/>
      <c r="K77" s="17"/>
    </row>
    <row r="78" spans="1:11" x14ac:dyDescent="0.2">
      <c r="A78" s="12"/>
      <c r="B78" s="16" t="s">
        <v>35</v>
      </c>
      <c r="C78" s="12" t="s">
        <v>35</v>
      </c>
      <c r="D78" s="12" t="s">
        <v>35</v>
      </c>
      <c r="E78" s="16" t="s">
        <v>35</v>
      </c>
      <c r="F78" s="12">
        <v>1</v>
      </c>
      <c r="G78" s="16" t="s">
        <v>81</v>
      </c>
      <c r="H78" s="16" t="s">
        <v>35</v>
      </c>
      <c r="I78" s="12"/>
      <c r="J78" s="12"/>
      <c r="K78" s="17"/>
    </row>
    <row r="79" spans="1:11" x14ac:dyDescent="0.2">
      <c r="A79" s="12" t="s">
        <v>35</v>
      </c>
      <c r="B79" s="16" t="s">
        <v>35</v>
      </c>
      <c r="C79" s="12" t="s">
        <v>35</v>
      </c>
      <c r="D79" s="12" t="s">
        <v>35</v>
      </c>
      <c r="E79" s="16" t="s">
        <v>35</v>
      </c>
      <c r="F79" s="12">
        <v>2</v>
      </c>
      <c r="G79" s="16" t="s">
        <v>78</v>
      </c>
      <c r="H79" s="16" t="s">
        <v>35</v>
      </c>
      <c r="I79" s="12"/>
      <c r="J79" s="12"/>
      <c r="K79" s="17"/>
    </row>
    <row r="80" spans="1:11" x14ac:dyDescent="0.2">
      <c r="A80" s="12" t="s">
        <v>35</v>
      </c>
      <c r="B80" s="16" t="s">
        <v>35</v>
      </c>
      <c r="C80" s="12" t="s">
        <v>35</v>
      </c>
      <c r="D80" s="12" t="s">
        <v>35</v>
      </c>
      <c r="E80" s="16" t="s">
        <v>35</v>
      </c>
      <c r="F80" s="12">
        <v>3</v>
      </c>
      <c r="G80" s="16" t="s">
        <v>79</v>
      </c>
      <c r="H80" s="16" t="s">
        <v>35</v>
      </c>
      <c r="I80" s="12"/>
      <c r="J80" s="12"/>
      <c r="K80" s="17"/>
    </row>
    <row r="81" spans="1:14" x14ac:dyDescent="0.2">
      <c r="A81" s="12" t="s">
        <v>35</v>
      </c>
      <c r="B81" s="16" t="s">
        <v>35</v>
      </c>
      <c r="C81" s="12" t="s">
        <v>35</v>
      </c>
      <c r="D81" s="12" t="s">
        <v>37</v>
      </c>
      <c r="E81" s="16" t="s">
        <v>82</v>
      </c>
      <c r="F81" s="12" t="s">
        <v>35</v>
      </c>
      <c r="G81" s="16" t="s">
        <v>35</v>
      </c>
      <c r="H81" s="16" t="s">
        <v>35</v>
      </c>
      <c r="I81" s="12">
        <v>4</v>
      </c>
      <c r="J81" s="12"/>
      <c r="K81" s="17">
        <v>1</v>
      </c>
    </row>
    <row r="82" spans="1:14" x14ac:dyDescent="0.2">
      <c r="A82" s="12" t="s">
        <v>35</v>
      </c>
      <c r="B82" s="16" t="s">
        <v>35</v>
      </c>
      <c r="C82" s="12" t="s">
        <v>35</v>
      </c>
      <c r="D82" s="12" t="s">
        <v>35</v>
      </c>
      <c r="E82" s="16" t="s">
        <v>35</v>
      </c>
      <c r="F82" s="12">
        <v>0</v>
      </c>
      <c r="G82" s="16" t="s">
        <v>83</v>
      </c>
      <c r="H82" s="16" t="s">
        <v>35</v>
      </c>
      <c r="I82" s="12"/>
      <c r="J82" s="12"/>
      <c r="K82" s="17"/>
    </row>
    <row r="83" spans="1:14" x14ac:dyDescent="0.2">
      <c r="A83" s="12" t="s">
        <v>35</v>
      </c>
      <c r="B83" s="16" t="s">
        <v>35</v>
      </c>
      <c r="C83" s="12" t="s">
        <v>35</v>
      </c>
      <c r="D83" s="12" t="s">
        <v>35</v>
      </c>
      <c r="E83" s="16" t="s">
        <v>35</v>
      </c>
      <c r="F83" s="12">
        <v>1</v>
      </c>
      <c r="G83" s="16" t="s">
        <v>84</v>
      </c>
      <c r="H83" s="16" t="s">
        <v>35</v>
      </c>
      <c r="I83" s="12"/>
      <c r="J83" s="12"/>
      <c r="K83" s="17"/>
    </row>
    <row r="84" spans="1:14" x14ac:dyDescent="0.2">
      <c r="A84" s="12" t="s">
        <v>35</v>
      </c>
      <c r="B84" s="16" t="s">
        <v>35</v>
      </c>
      <c r="C84" s="12" t="s">
        <v>35</v>
      </c>
      <c r="D84" s="12" t="s">
        <v>35</v>
      </c>
      <c r="E84" s="16" t="s">
        <v>35</v>
      </c>
      <c r="F84" s="12">
        <v>2</v>
      </c>
      <c r="G84" s="16" t="s">
        <v>85</v>
      </c>
      <c r="H84" s="16" t="s">
        <v>35</v>
      </c>
      <c r="I84" s="12"/>
      <c r="J84" s="12"/>
      <c r="K84" s="17"/>
    </row>
    <row r="85" spans="1:14" x14ac:dyDescent="0.2">
      <c r="A85" s="12" t="s">
        <v>35</v>
      </c>
      <c r="B85" s="16" t="s">
        <v>35</v>
      </c>
      <c r="C85" s="12" t="s">
        <v>35</v>
      </c>
      <c r="D85" s="12" t="s">
        <v>35</v>
      </c>
      <c r="E85" s="16" t="s">
        <v>35</v>
      </c>
      <c r="F85" s="12">
        <v>3</v>
      </c>
      <c r="G85" s="16" t="s">
        <v>86</v>
      </c>
      <c r="H85" s="16" t="s">
        <v>35</v>
      </c>
      <c r="I85" s="12"/>
      <c r="J85" s="12"/>
      <c r="K85" s="17"/>
    </row>
    <row r="86" spans="1:14" x14ac:dyDescent="0.2">
      <c r="A86" s="12" t="s">
        <v>35</v>
      </c>
      <c r="B86" s="16"/>
      <c r="C86" s="12"/>
      <c r="D86" s="12"/>
      <c r="E86" s="16"/>
      <c r="F86" s="12"/>
      <c r="G86" s="16"/>
      <c r="H86" s="16"/>
      <c r="I86" s="12"/>
      <c r="J86" s="12"/>
      <c r="K86" s="17"/>
    </row>
    <row r="87" spans="1:14" ht="13.5" thickBot="1" x14ac:dyDescent="0.25">
      <c r="A87" s="12" t="s">
        <v>35</v>
      </c>
      <c r="B87" s="16"/>
      <c r="C87" s="12"/>
      <c r="D87" s="12"/>
      <c r="E87" s="16"/>
      <c r="F87" s="12"/>
      <c r="G87" s="16"/>
      <c r="H87" s="16"/>
      <c r="I87" s="12"/>
      <c r="J87" s="12"/>
      <c r="K87" s="17"/>
    </row>
    <row r="88" spans="1:14" ht="64.5" thickBot="1" x14ac:dyDescent="0.25">
      <c r="A88" s="3" t="s">
        <v>21</v>
      </c>
      <c r="B88" s="3" t="s">
        <v>22</v>
      </c>
      <c r="C88" s="3" t="s">
        <v>23</v>
      </c>
      <c r="D88" s="3" t="s">
        <v>24</v>
      </c>
      <c r="E88" s="3" t="s">
        <v>25</v>
      </c>
      <c r="F88" s="3" t="s">
        <v>26</v>
      </c>
      <c r="G88" s="3" t="s">
        <v>27</v>
      </c>
      <c r="H88" s="3" t="s">
        <v>28</v>
      </c>
      <c r="I88" s="3" t="s">
        <v>29</v>
      </c>
      <c r="J88" s="3" t="s">
        <v>30</v>
      </c>
      <c r="K88" s="3" t="s">
        <v>31</v>
      </c>
      <c r="L88" s="4" t="s">
        <v>39</v>
      </c>
      <c r="M88" s="5" t="s">
        <v>33</v>
      </c>
      <c r="N88" s="6">
        <f>SUM(K89:K130)</f>
        <v>30</v>
      </c>
    </row>
    <row r="89" spans="1:14" x14ac:dyDescent="0.2">
      <c r="A89" s="12" t="s">
        <v>40</v>
      </c>
      <c r="B89" s="16" t="s">
        <v>66</v>
      </c>
      <c r="C89" s="12">
        <v>2</v>
      </c>
      <c r="D89" s="16" t="s">
        <v>35</v>
      </c>
      <c r="E89" s="16" t="s">
        <v>35</v>
      </c>
      <c r="F89" s="16" t="s">
        <v>35</v>
      </c>
      <c r="G89" s="16" t="s">
        <v>35</v>
      </c>
      <c r="H89" s="16" t="s">
        <v>35</v>
      </c>
      <c r="I89" s="16" t="s">
        <v>35</v>
      </c>
      <c r="J89" s="16" t="s">
        <v>35</v>
      </c>
      <c r="K89" s="16" t="s">
        <v>35</v>
      </c>
    </row>
    <row r="90" spans="1:14" x14ac:dyDescent="0.2">
      <c r="A90" s="12" t="s">
        <v>35</v>
      </c>
      <c r="B90" s="16" t="s">
        <v>35</v>
      </c>
      <c r="C90" s="12" t="s">
        <v>35</v>
      </c>
      <c r="D90" s="12" t="s">
        <v>36</v>
      </c>
      <c r="E90" s="20" t="s">
        <v>178</v>
      </c>
      <c r="F90" s="12" t="s">
        <v>35</v>
      </c>
      <c r="G90" s="20" t="s">
        <v>167</v>
      </c>
      <c r="H90" s="16" t="s">
        <v>35</v>
      </c>
      <c r="I90" s="12">
        <v>1</v>
      </c>
      <c r="J90" s="12"/>
      <c r="K90" s="17">
        <v>1</v>
      </c>
    </row>
    <row r="91" spans="1:14" ht="12.75" customHeight="1" x14ac:dyDescent="0.2">
      <c r="A91" s="12"/>
      <c r="B91" s="16"/>
      <c r="C91" s="12"/>
      <c r="D91" s="12" t="s">
        <v>36</v>
      </c>
      <c r="E91" s="20" t="s">
        <v>173</v>
      </c>
      <c r="F91" s="12"/>
      <c r="G91" s="19" t="s">
        <v>176</v>
      </c>
      <c r="H91" s="16"/>
      <c r="I91" s="12">
        <v>3</v>
      </c>
      <c r="J91" s="12"/>
      <c r="K91" s="17">
        <v>1</v>
      </c>
    </row>
    <row r="92" spans="1:14" x14ac:dyDescent="0.2">
      <c r="A92" s="12"/>
      <c r="B92" s="16"/>
      <c r="C92" s="12"/>
      <c r="D92" s="12" t="s">
        <v>36</v>
      </c>
      <c r="E92" s="20" t="s">
        <v>174</v>
      </c>
      <c r="F92" s="12"/>
      <c r="G92" s="20" t="s">
        <v>175</v>
      </c>
      <c r="H92" s="16"/>
      <c r="I92" s="12">
        <v>1</v>
      </c>
      <c r="J92" s="12"/>
      <c r="K92" s="17">
        <v>0.3</v>
      </c>
    </row>
    <row r="93" spans="1:14" x14ac:dyDescent="0.2">
      <c r="A93" s="12" t="s">
        <v>35</v>
      </c>
      <c r="B93" s="16" t="s">
        <v>35</v>
      </c>
      <c r="C93" s="12" t="s">
        <v>35</v>
      </c>
      <c r="D93" s="12" t="s">
        <v>36</v>
      </c>
      <c r="E93" s="16" t="s">
        <v>106</v>
      </c>
      <c r="F93" s="12"/>
      <c r="G93" s="16" t="s">
        <v>163</v>
      </c>
      <c r="H93" s="16" t="s">
        <v>35</v>
      </c>
      <c r="I93" s="12">
        <v>5</v>
      </c>
      <c r="J93" s="12"/>
      <c r="K93" s="17">
        <v>0.3</v>
      </c>
    </row>
    <row r="94" spans="1:14" ht="12.75" customHeight="1" x14ac:dyDescent="0.2">
      <c r="A94" s="12" t="s">
        <v>35</v>
      </c>
      <c r="B94" s="16" t="s">
        <v>35</v>
      </c>
      <c r="C94" s="12" t="s">
        <v>35</v>
      </c>
      <c r="D94" s="12" t="s">
        <v>36</v>
      </c>
      <c r="E94" s="16" t="s">
        <v>162</v>
      </c>
      <c r="F94" s="12"/>
      <c r="G94" s="19" t="s">
        <v>182</v>
      </c>
      <c r="H94" s="16" t="s">
        <v>35</v>
      </c>
      <c r="I94" s="12">
        <v>5</v>
      </c>
      <c r="J94" s="12"/>
      <c r="K94" s="17">
        <v>1.2</v>
      </c>
    </row>
    <row r="95" spans="1:14" ht="12.75" customHeight="1" x14ac:dyDescent="0.2">
      <c r="A95" s="12" t="s">
        <v>35</v>
      </c>
      <c r="B95" s="16" t="s">
        <v>35</v>
      </c>
      <c r="C95" s="12" t="s">
        <v>35</v>
      </c>
      <c r="D95" s="12" t="s">
        <v>36</v>
      </c>
      <c r="E95" s="16" t="s">
        <v>107</v>
      </c>
      <c r="F95" s="12"/>
      <c r="G95" s="19" t="s">
        <v>168</v>
      </c>
      <c r="H95" s="16" t="s">
        <v>35</v>
      </c>
      <c r="I95" s="12">
        <v>6</v>
      </c>
      <c r="J95" s="12"/>
      <c r="K95" s="17">
        <v>1.2</v>
      </c>
    </row>
    <row r="96" spans="1:14" ht="12.75" customHeight="1" x14ac:dyDescent="0.2">
      <c r="A96" s="12" t="s">
        <v>35</v>
      </c>
      <c r="B96" s="16" t="s">
        <v>35</v>
      </c>
      <c r="C96" s="12" t="s">
        <v>35</v>
      </c>
      <c r="D96" s="12" t="s">
        <v>36</v>
      </c>
      <c r="E96" s="16" t="s">
        <v>164</v>
      </c>
      <c r="F96" s="12"/>
      <c r="G96" s="19" t="s">
        <v>172</v>
      </c>
      <c r="H96" s="16" t="s">
        <v>35</v>
      </c>
      <c r="I96" s="12">
        <v>5</v>
      </c>
      <c r="J96" s="12"/>
      <c r="K96" s="17">
        <v>2</v>
      </c>
    </row>
    <row r="97" spans="1:11" ht="12.75" customHeight="1" x14ac:dyDescent="0.2">
      <c r="A97" s="12" t="s">
        <v>35</v>
      </c>
      <c r="B97" s="16" t="s">
        <v>35</v>
      </c>
      <c r="C97" s="12" t="s">
        <v>35</v>
      </c>
      <c r="D97" s="12" t="s">
        <v>36</v>
      </c>
      <c r="E97" s="16" t="s">
        <v>108</v>
      </c>
      <c r="F97" s="12"/>
      <c r="G97" s="19" t="s">
        <v>169</v>
      </c>
      <c r="H97" s="16" t="s">
        <v>35</v>
      </c>
      <c r="I97" s="12">
        <v>5</v>
      </c>
      <c r="J97" s="12"/>
      <c r="K97" s="17">
        <v>1.2</v>
      </c>
    </row>
    <row r="98" spans="1:11" ht="12.75" customHeight="1" x14ac:dyDescent="0.2">
      <c r="A98" s="12" t="s">
        <v>35</v>
      </c>
      <c r="B98" s="16" t="s">
        <v>35</v>
      </c>
      <c r="C98" s="12" t="s">
        <v>35</v>
      </c>
      <c r="D98" s="12" t="s">
        <v>36</v>
      </c>
      <c r="E98" s="16" t="s">
        <v>165</v>
      </c>
      <c r="F98" s="12"/>
      <c r="G98" s="19" t="s">
        <v>171</v>
      </c>
      <c r="H98" s="16" t="s">
        <v>35</v>
      </c>
      <c r="I98" s="12">
        <v>5</v>
      </c>
      <c r="J98" s="12"/>
      <c r="K98" s="17">
        <v>1.7</v>
      </c>
    </row>
    <row r="99" spans="1:11" ht="12.75" customHeight="1" x14ac:dyDescent="0.2">
      <c r="A99" s="12" t="s">
        <v>35</v>
      </c>
      <c r="B99" s="16" t="s">
        <v>35</v>
      </c>
      <c r="C99" s="12" t="s">
        <v>35</v>
      </c>
      <c r="D99" s="12" t="s">
        <v>36</v>
      </c>
      <c r="E99" s="16" t="s">
        <v>110</v>
      </c>
      <c r="F99" s="12"/>
      <c r="G99" s="19" t="s">
        <v>170</v>
      </c>
      <c r="H99" s="16" t="s">
        <v>35</v>
      </c>
      <c r="I99" s="12">
        <v>5</v>
      </c>
      <c r="J99" s="12"/>
      <c r="K99" s="17">
        <v>1.7</v>
      </c>
    </row>
    <row r="100" spans="1:11" ht="12.75" customHeight="1" x14ac:dyDescent="0.2">
      <c r="A100" s="12" t="s">
        <v>35</v>
      </c>
      <c r="B100" s="16" t="s">
        <v>35</v>
      </c>
      <c r="C100" s="12" t="s">
        <v>35</v>
      </c>
      <c r="D100" s="12" t="s">
        <v>36</v>
      </c>
      <c r="E100" s="16" t="s">
        <v>166</v>
      </c>
      <c r="F100" s="12"/>
      <c r="G100" s="19" t="s">
        <v>177</v>
      </c>
      <c r="H100" s="16" t="s">
        <v>35</v>
      </c>
      <c r="I100" s="12">
        <v>5</v>
      </c>
      <c r="J100" s="12"/>
      <c r="K100" s="17">
        <v>1.8</v>
      </c>
    </row>
    <row r="101" spans="1:11" x14ac:dyDescent="0.2">
      <c r="A101" s="12" t="s">
        <v>35</v>
      </c>
      <c r="B101" s="16" t="s">
        <v>35</v>
      </c>
      <c r="C101" s="12" t="s">
        <v>35</v>
      </c>
      <c r="D101" s="12" t="s">
        <v>37</v>
      </c>
      <c r="E101" s="16" t="s">
        <v>87</v>
      </c>
      <c r="F101" s="12" t="s">
        <v>35</v>
      </c>
      <c r="G101" s="16" t="s">
        <v>35</v>
      </c>
      <c r="H101" s="16" t="s">
        <v>35</v>
      </c>
      <c r="I101" s="12">
        <v>4</v>
      </c>
      <c r="J101" s="12"/>
      <c r="K101" s="17">
        <v>1.6</v>
      </c>
    </row>
    <row r="102" spans="1:11" x14ac:dyDescent="0.2">
      <c r="A102" s="12" t="s">
        <v>35</v>
      </c>
      <c r="B102" s="16" t="s">
        <v>35</v>
      </c>
      <c r="C102" s="12" t="s">
        <v>35</v>
      </c>
      <c r="D102" s="12" t="s">
        <v>35</v>
      </c>
      <c r="E102" s="16" t="s">
        <v>35</v>
      </c>
      <c r="F102" s="12">
        <v>0</v>
      </c>
      <c r="G102" s="16" t="s">
        <v>88</v>
      </c>
      <c r="H102" s="16" t="s">
        <v>35</v>
      </c>
      <c r="I102" s="12"/>
      <c r="J102" s="12"/>
      <c r="K102" s="17"/>
    </row>
    <row r="103" spans="1:11" x14ac:dyDescent="0.2">
      <c r="A103" s="12" t="s">
        <v>35</v>
      </c>
      <c r="B103" s="16" t="s">
        <v>35</v>
      </c>
      <c r="C103" s="12" t="s">
        <v>35</v>
      </c>
      <c r="D103" s="12" t="s">
        <v>35</v>
      </c>
      <c r="E103" s="16" t="s">
        <v>35</v>
      </c>
      <c r="F103" s="12">
        <v>1</v>
      </c>
      <c r="G103" s="16" t="s">
        <v>89</v>
      </c>
      <c r="H103" s="16" t="s">
        <v>35</v>
      </c>
      <c r="I103" s="12"/>
      <c r="J103" s="12"/>
      <c r="K103" s="17"/>
    </row>
    <row r="104" spans="1:11" x14ac:dyDescent="0.2">
      <c r="A104" s="12" t="s">
        <v>35</v>
      </c>
      <c r="B104" s="16" t="s">
        <v>35</v>
      </c>
      <c r="C104" s="12" t="s">
        <v>35</v>
      </c>
      <c r="D104" s="12" t="s">
        <v>35</v>
      </c>
      <c r="E104" s="16" t="s">
        <v>35</v>
      </c>
      <c r="F104" s="12">
        <v>2</v>
      </c>
      <c r="G104" s="16" t="s">
        <v>90</v>
      </c>
      <c r="H104" s="16" t="s">
        <v>35</v>
      </c>
      <c r="I104" s="12"/>
      <c r="J104" s="12"/>
      <c r="K104" s="17"/>
    </row>
    <row r="105" spans="1:11" x14ac:dyDescent="0.2">
      <c r="A105" s="12" t="s">
        <v>35</v>
      </c>
      <c r="B105" s="16" t="s">
        <v>35</v>
      </c>
      <c r="C105" s="12" t="s">
        <v>35</v>
      </c>
      <c r="D105" s="12" t="s">
        <v>35</v>
      </c>
      <c r="E105" s="16" t="s">
        <v>35</v>
      </c>
      <c r="F105" s="12">
        <v>3</v>
      </c>
      <c r="G105" s="16" t="s">
        <v>91</v>
      </c>
      <c r="H105" s="16" t="s">
        <v>35</v>
      </c>
      <c r="I105" s="12"/>
      <c r="J105" s="12"/>
      <c r="K105" s="17"/>
    </row>
    <row r="106" spans="1:11" x14ac:dyDescent="0.2">
      <c r="A106" s="12" t="s">
        <v>42</v>
      </c>
      <c r="B106" s="16" t="s">
        <v>67</v>
      </c>
      <c r="C106" s="12">
        <v>2</v>
      </c>
      <c r="D106" s="16" t="s">
        <v>35</v>
      </c>
      <c r="E106" s="16" t="s">
        <v>35</v>
      </c>
      <c r="F106" s="16" t="s">
        <v>35</v>
      </c>
      <c r="G106" s="16" t="s">
        <v>35</v>
      </c>
      <c r="H106" s="16" t="s">
        <v>35</v>
      </c>
      <c r="I106" s="16" t="s">
        <v>35</v>
      </c>
      <c r="J106" s="16" t="s">
        <v>35</v>
      </c>
      <c r="K106" s="16" t="s">
        <v>35</v>
      </c>
    </row>
    <row r="107" spans="1:11" ht="12.75" customHeight="1" x14ac:dyDescent="0.2">
      <c r="A107" s="12" t="s">
        <v>35</v>
      </c>
      <c r="B107" s="16" t="s">
        <v>35</v>
      </c>
      <c r="C107" s="12" t="s">
        <v>35</v>
      </c>
      <c r="D107" s="12" t="s">
        <v>36</v>
      </c>
      <c r="E107" s="20" t="s">
        <v>173</v>
      </c>
      <c r="F107" s="12"/>
      <c r="G107" s="19" t="s">
        <v>180</v>
      </c>
      <c r="H107" s="16" t="s">
        <v>35</v>
      </c>
      <c r="I107" s="12">
        <v>3</v>
      </c>
      <c r="J107" s="12"/>
      <c r="K107" s="17">
        <v>1</v>
      </c>
    </row>
    <row r="108" spans="1:11" ht="12.75" customHeight="1" x14ac:dyDescent="0.2">
      <c r="A108" s="12" t="s">
        <v>35</v>
      </c>
      <c r="B108" s="16" t="s">
        <v>35</v>
      </c>
      <c r="C108" s="12" t="s">
        <v>35</v>
      </c>
      <c r="D108" s="12" t="s">
        <v>36</v>
      </c>
      <c r="E108" s="20" t="s">
        <v>174</v>
      </c>
      <c r="F108" s="12"/>
      <c r="G108" s="20" t="s">
        <v>179</v>
      </c>
      <c r="H108" s="16"/>
      <c r="I108" s="12">
        <v>1</v>
      </c>
      <c r="J108" s="12"/>
      <c r="K108" s="17">
        <v>0.3</v>
      </c>
    </row>
    <row r="109" spans="1:11" ht="12.75" customHeight="1" x14ac:dyDescent="0.2">
      <c r="A109" s="12" t="s">
        <v>35</v>
      </c>
      <c r="B109" s="16" t="s">
        <v>35</v>
      </c>
      <c r="C109" s="12" t="s">
        <v>35</v>
      </c>
      <c r="D109" s="12" t="s">
        <v>36</v>
      </c>
      <c r="E109" s="20" t="s">
        <v>108</v>
      </c>
      <c r="F109" s="12"/>
      <c r="G109" s="19" t="s">
        <v>194</v>
      </c>
      <c r="H109" s="16"/>
      <c r="I109" s="12">
        <v>1</v>
      </c>
      <c r="J109" s="12"/>
      <c r="K109" s="17">
        <v>0.3</v>
      </c>
    </row>
    <row r="110" spans="1:11" ht="12.75" customHeight="1" x14ac:dyDescent="0.2">
      <c r="A110" s="12" t="s">
        <v>35</v>
      </c>
      <c r="B110" s="16" t="s">
        <v>35</v>
      </c>
      <c r="C110" s="12" t="s">
        <v>35</v>
      </c>
      <c r="D110" s="12" t="s">
        <v>36</v>
      </c>
      <c r="E110" s="20" t="s">
        <v>181</v>
      </c>
      <c r="F110" s="12"/>
      <c r="G110" s="20" t="s">
        <v>198</v>
      </c>
      <c r="H110" s="16" t="s">
        <v>35</v>
      </c>
      <c r="I110" s="12">
        <v>6</v>
      </c>
      <c r="J110" s="12"/>
      <c r="K110" s="17">
        <v>0.5</v>
      </c>
    </row>
    <row r="111" spans="1:11" ht="12.75" customHeight="1" x14ac:dyDescent="0.2">
      <c r="A111" s="12" t="s">
        <v>35</v>
      </c>
      <c r="B111" s="16" t="s">
        <v>35</v>
      </c>
      <c r="C111" s="12" t="s">
        <v>35</v>
      </c>
      <c r="D111" s="12" t="s">
        <v>36</v>
      </c>
      <c r="E111" s="20" t="s">
        <v>134</v>
      </c>
      <c r="F111" s="12"/>
      <c r="G111" s="19" t="s">
        <v>195</v>
      </c>
      <c r="H111" s="16" t="s">
        <v>35</v>
      </c>
      <c r="I111" s="12">
        <v>6</v>
      </c>
      <c r="J111" s="12"/>
      <c r="K111" s="17">
        <v>0.9</v>
      </c>
    </row>
    <row r="112" spans="1:11" ht="12.75" customHeight="1" x14ac:dyDescent="0.2">
      <c r="A112" s="12" t="s">
        <v>35</v>
      </c>
      <c r="B112" s="16" t="s">
        <v>35</v>
      </c>
      <c r="C112" s="12" t="s">
        <v>35</v>
      </c>
      <c r="D112" s="12" t="s">
        <v>36</v>
      </c>
      <c r="E112" s="20" t="s">
        <v>183</v>
      </c>
      <c r="F112" s="12"/>
      <c r="G112" s="19" t="s">
        <v>208</v>
      </c>
      <c r="H112" s="16" t="s">
        <v>35</v>
      </c>
      <c r="I112" s="12">
        <v>6</v>
      </c>
      <c r="J112" s="12"/>
      <c r="K112" s="17">
        <v>1.2</v>
      </c>
    </row>
    <row r="113" spans="1:11" ht="12.75" customHeight="1" x14ac:dyDescent="0.2">
      <c r="A113" s="12"/>
      <c r="B113" s="16" t="s">
        <v>35</v>
      </c>
      <c r="C113" s="12" t="s">
        <v>35</v>
      </c>
      <c r="D113" s="12" t="s">
        <v>36</v>
      </c>
      <c r="E113" s="20" t="s">
        <v>184</v>
      </c>
      <c r="F113" s="12"/>
      <c r="G113" s="19" t="s">
        <v>205</v>
      </c>
      <c r="H113" s="16" t="s">
        <v>35</v>
      </c>
      <c r="I113" s="12">
        <v>6</v>
      </c>
      <c r="J113" s="12"/>
      <c r="K113" s="17">
        <v>1</v>
      </c>
    </row>
    <row r="114" spans="1:11" ht="12.75" customHeight="1" x14ac:dyDescent="0.2">
      <c r="A114" s="12" t="s">
        <v>35</v>
      </c>
      <c r="B114" s="16" t="s">
        <v>35</v>
      </c>
      <c r="C114" s="12" t="s">
        <v>35</v>
      </c>
      <c r="D114" s="12" t="s">
        <v>36</v>
      </c>
      <c r="E114" s="20" t="s">
        <v>185</v>
      </c>
      <c r="F114" s="12"/>
      <c r="G114" s="19" t="s">
        <v>199</v>
      </c>
      <c r="H114" s="16" t="s">
        <v>35</v>
      </c>
      <c r="I114" s="12">
        <v>6</v>
      </c>
      <c r="J114" s="12"/>
      <c r="K114" s="17">
        <v>1.7</v>
      </c>
    </row>
    <row r="115" spans="1:11" ht="12.75" customHeight="1" x14ac:dyDescent="0.2">
      <c r="A115" s="12" t="s">
        <v>35</v>
      </c>
      <c r="B115" s="16" t="s">
        <v>35</v>
      </c>
      <c r="C115" s="12" t="s">
        <v>35</v>
      </c>
      <c r="D115" s="12" t="s">
        <v>36</v>
      </c>
      <c r="E115" s="20" t="s">
        <v>186</v>
      </c>
      <c r="F115" s="12"/>
      <c r="G115" s="19" t="s">
        <v>196</v>
      </c>
      <c r="H115" s="16" t="s">
        <v>35</v>
      </c>
      <c r="I115" s="12">
        <v>1</v>
      </c>
      <c r="J115" s="12"/>
      <c r="K115" s="17">
        <v>0.5</v>
      </c>
    </row>
    <row r="116" spans="1:11" ht="12.75" customHeight="1" x14ac:dyDescent="0.2">
      <c r="A116" s="12" t="s">
        <v>35</v>
      </c>
      <c r="B116" s="16" t="s">
        <v>35</v>
      </c>
      <c r="C116" s="12" t="s">
        <v>35</v>
      </c>
      <c r="D116" s="12" t="s">
        <v>36</v>
      </c>
      <c r="E116" s="20" t="s">
        <v>187</v>
      </c>
      <c r="F116" s="12"/>
      <c r="G116" s="19" t="s">
        <v>200</v>
      </c>
      <c r="H116" s="16" t="s">
        <v>35</v>
      </c>
      <c r="I116" s="12">
        <v>6</v>
      </c>
      <c r="J116" s="12"/>
      <c r="K116" s="17">
        <v>0.6</v>
      </c>
    </row>
    <row r="117" spans="1:11" ht="12.75" customHeight="1" x14ac:dyDescent="0.2">
      <c r="A117" s="12" t="s">
        <v>35</v>
      </c>
      <c r="B117" s="16" t="s">
        <v>35</v>
      </c>
      <c r="C117" s="12" t="s">
        <v>35</v>
      </c>
      <c r="D117" s="12" t="s">
        <v>36</v>
      </c>
      <c r="E117" s="20" t="s">
        <v>188</v>
      </c>
      <c r="F117" s="12"/>
      <c r="G117" s="19" t="s">
        <v>203</v>
      </c>
      <c r="H117" s="16" t="s">
        <v>35</v>
      </c>
      <c r="I117" s="12">
        <v>6</v>
      </c>
      <c r="J117" s="12"/>
      <c r="K117" s="17">
        <v>1.5</v>
      </c>
    </row>
    <row r="118" spans="1:11" ht="12.75" customHeight="1" x14ac:dyDescent="0.2">
      <c r="A118" s="12" t="s">
        <v>35</v>
      </c>
      <c r="B118" s="16" t="s">
        <v>35</v>
      </c>
      <c r="C118" s="12" t="s">
        <v>35</v>
      </c>
      <c r="D118" s="12" t="s">
        <v>36</v>
      </c>
      <c r="E118" s="20" t="s">
        <v>189</v>
      </c>
      <c r="F118" s="12"/>
      <c r="G118" s="19" t="s">
        <v>201</v>
      </c>
      <c r="H118" s="16" t="s">
        <v>35</v>
      </c>
      <c r="I118" s="12">
        <v>6</v>
      </c>
      <c r="J118" s="12"/>
      <c r="K118" s="17">
        <v>0.6</v>
      </c>
    </row>
    <row r="119" spans="1:11" ht="12.75" customHeight="1" x14ac:dyDescent="0.2">
      <c r="A119" s="12" t="s">
        <v>35</v>
      </c>
      <c r="B119" s="16" t="s">
        <v>35</v>
      </c>
      <c r="C119" s="12" t="s">
        <v>35</v>
      </c>
      <c r="D119" s="12" t="s">
        <v>36</v>
      </c>
      <c r="E119" s="20" t="s">
        <v>142</v>
      </c>
      <c r="F119" s="12"/>
      <c r="G119" s="19" t="s">
        <v>197</v>
      </c>
      <c r="H119" s="16" t="s">
        <v>35</v>
      </c>
      <c r="I119" s="12">
        <v>1</v>
      </c>
      <c r="J119" s="12"/>
      <c r="K119" s="17">
        <v>0.4</v>
      </c>
    </row>
    <row r="120" spans="1:11" ht="12.75" customHeight="1" x14ac:dyDescent="0.2">
      <c r="A120" s="12" t="s">
        <v>35</v>
      </c>
      <c r="B120" s="16" t="s">
        <v>35</v>
      </c>
      <c r="C120" s="12" t="s">
        <v>35</v>
      </c>
      <c r="D120" s="12" t="s">
        <v>36</v>
      </c>
      <c r="E120" s="20" t="s">
        <v>190</v>
      </c>
      <c r="F120" s="12"/>
      <c r="G120" s="19" t="s">
        <v>207</v>
      </c>
      <c r="H120" s="16" t="s">
        <v>35</v>
      </c>
      <c r="I120" s="12">
        <v>6</v>
      </c>
      <c r="J120" s="12"/>
      <c r="K120" s="17">
        <v>0.6</v>
      </c>
    </row>
    <row r="121" spans="1:11" ht="12.75" customHeight="1" x14ac:dyDescent="0.2">
      <c r="A121" s="12" t="s">
        <v>35</v>
      </c>
      <c r="B121" s="16" t="s">
        <v>35</v>
      </c>
      <c r="C121" s="12" t="s">
        <v>35</v>
      </c>
      <c r="D121" s="12" t="s">
        <v>36</v>
      </c>
      <c r="E121" s="20" t="s">
        <v>191</v>
      </c>
      <c r="F121" s="12"/>
      <c r="G121" s="19" t="s">
        <v>204</v>
      </c>
      <c r="H121" s="16" t="s">
        <v>35</v>
      </c>
      <c r="I121" s="12">
        <v>6</v>
      </c>
      <c r="J121" s="12"/>
      <c r="K121" s="17">
        <v>1.5</v>
      </c>
    </row>
    <row r="122" spans="1:11" ht="12.75" customHeight="1" x14ac:dyDescent="0.2">
      <c r="A122" s="12" t="s">
        <v>35</v>
      </c>
      <c r="B122" s="16" t="s">
        <v>35</v>
      </c>
      <c r="C122" s="12" t="s">
        <v>35</v>
      </c>
      <c r="D122" s="12" t="s">
        <v>36</v>
      </c>
      <c r="E122" s="20" t="s">
        <v>192</v>
      </c>
      <c r="F122" s="12"/>
      <c r="G122" s="19" t="s">
        <v>206</v>
      </c>
      <c r="H122" s="16" t="s">
        <v>35</v>
      </c>
      <c r="I122" s="12">
        <v>6</v>
      </c>
      <c r="J122" s="12"/>
      <c r="K122" s="17">
        <v>0.8</v>
      </c>
    </row>
    <row r="123" spans="1:11" ht="12.75" customHeight="1" x14ac:dyDescent="0.2">
      <c r="A123" s="12" t="s">
        <v>35</v>
      </c>
      <c r="B123" s="16" t="s">
        <v>35</v>
      </c>
      <c r="C123" s="12" t="s">
        <v>35</v>
      </c>
      <c r="D123" s="12" t="s">
        <v>36</v>
      </c>
      <c r="E123" s="20" t="s">
        <v>193</v>
      </c>
      <c r="F123" s="12"/>
      <c r="G123" s="19" t="s">
        <v>202</v>
      </c>
      <c r="H123" s="16" t="s">
        <v>35</v>
      </c>
      <c r="I123" s="12">
        <v>6</v>
      </c>
      <c r="J123" s="12"/>
      <c r="K123" s="17">
        <v>0.6</v>
      </c>
    </row>
    <row r="124" spans="1:11" x14ac:dyDescent="0.2">
      <c r="A124" s="12" t="s">
        <v>35</v>
      </c>
      <c r="B124" s="16" t="s">
        <v>35</v>
      </c>
      <c r="C124" s="12" t="s">
        <v>35</v>
      </c>
      <c r="D124" s="12" t="s">
        <v>37</v>
      </c>
      <c r="E124" s="16" t="s">
        <v>87</v>
      </c>
      <c r="F124" s="12" t="s">
        <v>35</v>
      </c>
      <c r="G124" s="16" t="s">
        <v>35</v>
      </c>
      <c r="H124" s="16" t="s">
        <v>35</v>
      </c>
      <c r="I124" s="12">
        <v>4</v>
      </c>
      <c r="J124" s="12"/>
      <c r="K124" s="17">
        <v>1</v>
      </c>
    </row>
    <row r="125" spans="1:11" x14ac:dyDescent="0.2">
      <c r="A125" s="12" t="s">
        <v>35</v>
      </c>
      <c r="B125" s="16" t="s">
        <v>35</v>
      </c>
      <c r="C125" s="12" t="s">
        <v>35</v>
      </c>
      <c r="D125" s="12" t="s">
        <v>35</v>
      </c>
      <c r="E125" s="16" t="s">
        <v>35</v>
      </c>
      <c r="F125" s="12">
        <v>0</v>
      </c>
      <c r="G125" s="16" t="s">
        <v>88</v>
      </c>
      <c r="H125" s="16" t="s">
        <v>35</v>
      </c>
      <c r="I125" s="12"/>
      <c r="J125" s="12"/>
      <c r="K125" s="17"/>
    </row>
    <row r="126" spans="1:11" x14ac:dyDescent="0.2">
      <c r="A126" s="12" t="s">
        <v>35</v>
      </c>
      <c r="B126" s="16" t="s">
        <v>35</v>
      </c>
      <c r="C126" s="12" t="s">
        <v>35</v>
      </c>
      <c r="D126" s="12" t="s">
        <v>35</v>
      </c>
      <c r="E126" s="16" t="s">
        <v>35</v>
      </c>
      <c r="F126" s="12">
        <v>1</v>
      </c>
      <c r="G126" s="16" t="s">
        <v>89</v>
      </c>
      <c r="H126" s="16" t="s">
        <v>35</v>
      </c>
      <c r="I126" s="12"/>
      <c r="J126" s="12"/>
      <c r="K126" s="17"/>
    </row>
    <row r="127" spans="1:11" x14ac:dyDescent="0.2">
      <c r="A127" s="12" t="s">
        <v>35</v>
      </c>
      <c r="B127" s="16" t="s">
        <v>35</v>
      </c>
      <c r="C127" s="12" t="s">
        <v>35</v>
      </c>
      <c r="D127" s="12" t="s">
        <v>35</v>
      </c>
      <c r="E127" s="16" t="s">
        <v>35</v>
      </c>
      <c r="F127" s="12">
        <v>2</v>
      </c>
      <c r="G127" s="16" t="s">
        <v>90</v>
      </c>
      <c r="H127" s="16" t="s">
        <v>35</v>
      </c>
      <c r="I127" s="12"/>
      <c r="J127" s="12"/>
      <c r="K127" s="17"/>
    </row>
    <row r="128" spans="1:11" x14ac:dyDescent="0.2">
      <c r="A128" s="12" t="s">
        <v>35</v>
      </c>
      <c r="B128" s="16" t="s">
        <v>35</v>
      </c>
      <c r="C128" s="12" t="s">
        <v>35</v>
      </c>
      <c r="D128" s="12" t="s">
        <v>35</v>
      </c>
      <c r="E128" s="16" t="s">
        <v>35</v>
      </c>
      <c r="F128" s="12">
        <v>3</v>
      </c>
      <c r="G128" s="16" t="s">
        <v>209</v>
      </c>
      <c r="H128" s="16" t="s">
        <v>35</v>
      </c>
      <c r="I128" s="12"/>
      <c r="J128" s="12"/>
      <c r="K128" s="17"/>
    </row>
    <row r="129" spans="1:14" x14ac:dyDescent="0.2">
      <c r="A129" s="12" t="s">
        <v>35</v>
      </c>
      <c r="B129" s="16"/>
      <c r="C129" s="12"/>
      <c r="D129" s="12"/>
      <c r="E129" s="16"/>
      <c r="F129" s="12"/>
      <c r="G129" s="16"/>
      <c r="H129" s="16"/>
      <c r="I129" s="12"/>
      <c r="J129" s="12"/>
      <c r="K129" s="17"/>
    </row>
    <row r="130" spans="1:14" ht="13.5" thickBot="1" x14ac:dyDescent="0.25">
      <c r="A130" s="12" t="s">
        <v>35</v>
      </c>
      <c r="B130" s="16"/>
      <c r="C130" s="12"/>
      <c r="D130" s="12"/>
      <c r="E130" s="16"/>
      <c r="F130" s="12"/>
      <c r="G130" s="16"/>
      <c r="H130" s="16"/>
      <c r="I130" s="12"/>
      <c r="J130" s="12"/>
      <c r="K130" s="17"/>
    </row>
    <row r="131" spans="1:14" ht="63.75" x14ac:dyDescent="0.2">
      <c r="A131" s="3" t="s">
        <v>21</v>
      </c>
      <c r="B131" s="3" t="s">
        <v>22</v>
      </c>
      <c r="C131" s="3" t="s">
        <v>23</v>
      </c>
      <c r="D131" s="3" t="s">
        <v>24</v>
      </c>
      <c r="E131" s="3" t="s">
        <v>25</v>
      </c>
      <c r="F131" s="3" t="s">
        <v>26</v>
      </c>
      <c r="G131" s="3" t="s">
        <v>27</v>
      </c>
      <c r="H131" s="3" t="s">
        <v>28</v>
      </c>
      <c r="I131" s="3" t="s">
        <v>29</v>
      </c>
      <c r="J131" s="3" t="s">
        <v>30</v>
      </c>
      <c r="K131" s="3" t="s">
        <v>31</v>
      </c>
      <c r="L131" s="4" t="s">
        <v>44</v>
      </c>
      <c r="M131" s="5" t="s">
        <v>33</v>
      </c>
      <c r="N131" s="6">
        <f>SUM(K132:K181)</f>
        <v>29.999999999999996</v>
      </c>
    </row>
    <row r="132" spans="1:14" x14ac:dyDescent="0.2">
      <c r="A132" s="12" t="s">
        <v>45</v>
      </c>
      <c r="B132" s="16" t="s">
        <v>68</v>
      </c>
      <c r="C132" s="12">
        <v>3</v>
      </c>
      <c r="D132" s="16" t="s">
        <v>35</v>
      </c>
      <c r="E132" s="16" t="s">
        <v>35</v>
      </c>
      <c r="F132" s="16" t="s">
        <v>35</v>
      </c>
      <c r="G132" s="16" t="s">
        <v>35</v>
      </c>
      <c r="H132" s="16" t="s">
        <v>35</v>
      </c>
      <c r="I132" s="16" t="s">
        <v>35</v>
      </c>
      <c r="J132" s="16" t="s">
        <v>35</v>
      </c>
      <c r="K132" s="16" t="s">
        <v>35</v>
      </c>
    </row>
    <row r="133" spans="1:14" ht="12.75" customHeight="1" x14ac:dyDescent="0.2">
      <c r="A133" s="12" t="s">
        <v>35</v>
      </c>
      <c r="B133" s="16" t="s">
        <v>35</v>
      </c>
      <c r="C133" s="12" t="s">
        <v>35</v>
      </c>
      <c r="D133" s="12" t="s">
        <v>36</v>
      </c>
      <c r="E133" s="20" t="s">
        <v>173</v>
      </c>
      <c r="F133" s="12"/>
      <c r="G133" s="19" t="s">
        <v>218</v>
      </c>
      <c r="H133" s="16" t="s">
        <v>35</v>
      </c>
      <c r="I133" s="12">
        <v>3</v>
      </c>
      <c r="J133" s="12"/>
      <c r="K133" s="17">
        <v>1</v>
      </c>
    </row>
    <row r="134" spans="1:14" x14ac:dyDescent="0.2">
      <c r="A134" s="12" t="s">
        <v>35</v>
      </c>
      <c r="B134" s="16" t="s">
        <v>35</v>
      </c>
      <c r="C134" s="12" t="s">
        <v>35</v>
      </c>
      <c r="D134" s="12" t="s">
        <v>36</v>
      </c>
      <c r="E134" s="20" t="s">
        <v>174</v>
      </c>
      <c r="F134" s="12"/>
      <c r="G134" s="20" t="s">
        <v>217</v>
      </c>
      <c r="H134" s="16"/>
      <c r="I134" s="12">
        <v>1</v>
      </c>
      <c r="J134" s="12"/>
      <c r="K134" s="17">
        <v>0.3</v>
      </c>
    </row>
    <row r="135" spans="1:14" ht="12.75" customHeight="1" x14ac:dyDescent="0.2">
      <c r="A135" s="12" t="s">
        <v>35</v>
      </c>
      <c r="B135" s="16" t="s">
        <v>35</v>
      </c>
      <c r="C135" s="12" t="s">
        <v>35</v>
      </c>
      <c r="D135" s="12" t="s">
        <v>36</v>
      </c>
      <c r="E135" s="16" t="s">
        <v>211</v>
      </c>
      <c r="F135" s="12"/>
      <c r="G135" s="41" t="s">
        <v>227</v>
      </c>
      <c r="H135" s="16" t="s">
        <v>35</v>
      </c>
      <c r="I135" s="12">
        <v>6</v>
      </c>
      <c r="J135" s="12"/>
      <c r="K135" s="17">
        <v>1</v>
      </c>
    </row>
    <row r="136" spans="1:14" ht="12.75" customHeight="1" x14ac:dyDescent="0.2">
      <c r="A136" s="12" t="s">
        <v>35</v>
      </c>
      <c r="B136" s="16" t="s">
        <v>35</v>
      </c>
      <c r="C136" s="12" t="s">
        <v>35</v>
      </c>
      <c r="D136" s="12" t="s">
        <v>36</v>
      </c>
      <c r="E136" s="16" t="s">
        <v>210</v>
      </c>
      <c r="F136" s="12"/>
      <c r="G136" s="16" t="s">
        <v>228</v>
      </c>
      <c r="H136" s="16" t="s">
        <v>35</v>
      </c>
      <c r="I136" s="12">
        <v>6</v>
      </c>
      <c r="J136" s="12"/>
      <c r="K136" s="17">
        <v>0.3</v>
      </c>
    </row>
    <row r="137" spans="1:14" ht="12.75" customHeight="1" x14ac:dyDescent="0.2">
      <c r="A137" s="12" t="s">
        <v>35</v>
      </c>
      <c r="B137" s="16" t="s">
        <v>35</v>
      </c>
      <c r="C137" s="12" t="s">
        <v>35</v>
      </c>
      <c r="D137" s="12" t="s">
        <v>36</v>
      </c>
      <c r="E137" s="16" t="s">
        <v>212</v>
      </c>
      <c r="F137" s="12"/>
      <c r="G137" s="41" t="s">
        <v>229</v>
      </c>
      <c r="H137" s="16" t="s">
        <v>35</v>
      </c>
      <c r="I137" s="12">
        <v>6</v>
      </c>
      <c r="J137" s="12"/>
      <c r="K137" s="17">
        <v>1</v>
      </c>
    </row>
    <row r="138" spans="1:14" ht="12.75" customHeight="1" x14ac:dyDescent="0.2">
      <c r="A138" s="12" t="s">
        <v>35</v>
      </c>
      <c r="B138" s="16" t="s">
        <v>35</v>
      </c>
      <c r="C138" s="12" t="s">
        <v>35</v>
      </c>
      <c r="D138" s="12" t="s">
        <v>36</v>
      </c>
      <c r="E138" s="16" t="s">
        <v>220</v>
      </c>
      <c r="F138" s="12"/>
      <c r="G138" s="41" t="s">
        <v>230</v>
      </c>
      <c r="H138" s="16" t="s">
        <v>35</v>
      </c>
      <c r="I138" s="12">
        <v>1</v>
      </c>
      <c r="J138" s="12"/>
      <c r="K138" s="17">
        <v>1.3</v>
      </c>
    </row>
    <row r="139" spans="1:14" ht="12.75" customHeight="1" x14ac:dyDescent="0.2">
      <c r="A139" s="12" t="s">
        <v>35</v>
      </c>
      <c r="B139" s="16" t="s">
        <v>35</v>
      </c>
      <c r="C139" s="12" t="s">
        <v>35</v>
      </c>
      <c r="D139" s="12" t="s">
        <v>36</v>
      </c>
      <c r="E139" s="16" t="s">
        <v>221</v>
      </c>
      <c r="F139" s="12"/>
      <c r="G139" s="41" t="s">
        <v>231</v>
      </c>
      <c r="H139" s="16" t="s">
        <v>35</v>
      </c>
      <c r="I139" s="12">
        <v>4</v>
      </c>
      <c r="J139" s="12"/>
      <c r="K139" s="17">
        <v>1</v>
      </c>
    </row>
    <row r="140" spans="1:14" ht="12.75" customHeight="1" x14ac:dyDescent="0.2">
      <c r="A140" s="12" t="s">
        <v>35</v>
      </c>
      <c r="B140" s="16" t="s">
        <v>35</v>
      </c>
      <c r="C140" s="12" t="s">
        <v>35</v>
      </c>
      <c r="D140" s="12" t="s">
        <v>36</v>
      </c>
      <c r="E140" s="16" t="s">
        <v>213</v>
      </c>
      <c r="F140" s="12"/>
      <c r="G140" s="16" t="s">
        <v>232</v>
      </c>
      <c r="H140" s="16" t="s">
        <v>35</v>
      </c>
      <c r="I140" s="12">
        <v>5</v>
      </c>
      <c r="J140" s="12"/>
      <c r="K140" s="17">
        <v>1.2</v>
      </c>
    </row>
    <row r="141" spans="1:14" ht="12.75" customHeight="1" x14ac:dyDescent="0.2">
      <c r="A141" s="12" t="s">
        <v>35</v>
      </c>
      <c r="B141" s="16" t="s">
        <v>35</v>
      </c>
      <c r="C141" s="12" t="s">
        <v>35</v>
      </c>
      <c r="D141" s="12" t="s">
        <v>36</v>
      </c>
      <c r="E141" s="16" t="s">
        <v>214</v>
      </c>
      <c r="F141" s="12"/>
      <c r="G141" s="41" t="s">
        <v>233</v>
      </c>
      <c r="H141" s="16" t="s">
        <v>35</v>
      </c>
      <c r="I141" s="12">
        <v>6</v>
      </c>
      <c r="J141" s="12"/>
      <c r="K141" s="17">
        <v>0.8</v>
      </c>
    </row>
    <row r="142" spans="1:14" ht="12.75" customHeight="1" x14ac:dyDescent="0.2">
      <c r="A142" s="12" t="s">
        <v>35</v>
      </c>
      <c r="B142" s="16" t="s">
        <v>35</v>
      </c>
      <c r="C142" s="12" t="s">
        <v>35</v>
      </c>
      <c r="D142" s="12" t="s">
        <v>36</v>
      </c>
      <c r="E142" s="16" t="s">
        <v>215</v>
      </c>
      <c r="F142" s="12"/>
      <c r="G142" s="16" t="s">
        <v>224</v>
      </c>
      <c r="H142" s="16" t="s">
        <v>35</v>
      </c>
      <c r="I142" s="12">
        <v>6</v>
      </c>
      <c r="J142" s="12"/>
      <c r="K142" s="17">
        <v>0.5</v>
      </c>
    </row>
    <row r="143" spans="1:14" ht="12.75" customHeight="1" x14ac:dyDescent="0.2">
      <c r="A143" s="12" t="s">
        <v>35</v>
      </c>
      <c r="B143" s="16" t="s">
        <v>35</v>
      </c>
      <c r="C143" s="12" t="s">
        <v>35</v>
      </c>
      <c r="D143" s="12" t="s">
        <v>36</v>
      </c>
      <c r="E143" s="16" t="s">
        <v>216</v>
      </c>
      <c r="F143" s="12"/>
      <c r="G143" s="41" t="s">
        <v>234</v>
      </c>
      <c r="H143" s="16" t="s">
        <v>35</v>
      </c>
      <c r="I143" s="12">
        <v>6</v>
      </c>
      <c r="J143" s="12"/>
      <c r="K143" s="17">
        <v>1.6</v>
      </c>
    </row>
    <row r="144" spans="1:14" ht="12.75" customHeight="1" x14ac:dyDescent="0.2">
      <c r="A144" s="12" t="s">
        <v>35</v>
      </c>
      <c r="B144" s="16" t="s">
        <v>35</v>
      </c>
      <c r="C144" s="12" t="s">
        <v>35</v>
      </c>
      <c r="D144" s="12" t="s">
        <v>36</v>
      </c>
      <c r="E144" s="16" t="s">
        <v>222</v>
      </c>
      <c r="F144" s="12"/>
      <c r="G144" s="41" t="s">
        <v>235</v>
      </c>
      <c r="H144" s="16" t="s">
        <v>35</v>
      </c>
      <c r="I144" s="12">
        <v>6</v>
      </c>
      <c r="J144" s="12"/>
      <c r="K144" s="17">
        <v>0.6</v>
      </c>
    </row>
    <row r="145" spans="1:11" ht="12.75" customHeight="1" x14ac:dyDescent="0.2">
      <c r="A145" s="12" t="s">
        <v>35</v>
      </c>
      <c r="B145" s="16" t="s">
        <v>35</v>
      </c>
      <c r="C145" s="12" t="s">
        <v>35</v>
      </c>
      <c r="D145" s="12" t="s">
        <v>36</v>
      </c>
      <c r="E145" s="16" t="s">
        <v>223</v>
      </c>
      <c r="F145" s="12"/>
      <c r="G145" s="41" t="s">
        <v>236</v>
      </c>
      <c r="H145" s="16" t="s">
        <v>35</v>
      </c>
      <c r="I145" s="12">
        <v>6</v>
      </c>
      <c r="J145" s="12"/>
      <c r="K145" s="17">
        <v>1.4</v>
      </c>
    </row>
    <row r="146" spans="1:11" x14ac:dyDescent="0.2">
      <c r="A146" s="12" t="s">
        <v>35</v>
      </c>
      <c r="B146" s="16" t="s">
        <v>35</v>
      </c>
      <c r="C146" s="12" t="s">
        <v>35</v>
      </c>
      <c r="D146" s="12" t="s">
        <v>37</v>
      </c>
      <c r="E146" s="16" t="s">
        <v>72</v>
      </c>
      <c r="F146" s="12" t="s">
        <v>35</v>
      </c>
      <c r="G146" s="16" t="s">
        <v>35</v>
      </c>
      <c r="H146" s="16" t="s">
        <v>35</v>
      </c>
      <c r="I146" s="12">
        <v>4</v>
      </c>
      <c r="J146" s="12"/>
      <c r="K146" s="17">
        <v>1.5</v>
      </c>
    </row>
    <row r="147" spans="1:11" x14ac:dyDescent="0.2">
      <c r="A147" s="12" t="s">
        <v>35</v>
      </c>
      <c r="B147" s="16" t="s">
        <v>35</v>
      </c>
      <c r="C147" s="12" t="s">
        <v>35</v>
      </c>
      <c r="D147" s="12" t="s">
        <v>35</v>
      </c>
      <c r="E147" s="16" t="s">
        <v>35</v>
      </c>
      <c r="F147" s="12">
        <v>0</v>
      </c>
      <c r="G147" s="16" t="s">
        <v>73</v>
      </c>
      <c r="H147" s="16" t="s">
        <v>35</v>
      </c>
      <c r="I147" s="12"/>
      <c r="J147" s="12"/>
      <c r="K147" s="17"/>
    </row>
    <row r="148" spans="1:11" x14ac:dyDescent="0.2">
      <c r="A148" s="12" t="s">
        <v>35</v>
      </c>
      <c r="B148" s="16" t="s">
        <v>35</v>
      </c>
      <c r="C148" s="12" t="s">
        <v>35</v>
      </c>
      <c r="D148" s="12" t="s">
        <v>35</v>
      </c>
      <c r="E148" s="16" t="s">
        <v>35</v>
      </c>
      <c r="F148" s="12">
        <v>1</v>
      </c>
      <c r="G148" s="16" t="s">
        <v>75</v>
      </c>
      <c r="H148" s="16" t="s">
        <v>35</v>
      </c>
      <c r="I148" s="12"/>
      <c r="J148" s="12"/>
      <c r="K148" s="17"/>
    </row>
    <row r="149" spans="1:11" x14ac:dyDescent="0.2">
      <c r="A149" s="12" t="s">
        <v>35</v>
      </c>
      <c r="B149" s="16" t="s">
        <v>35</v>
      </c>
      <c r="C149" s="12" t="s">
        <v>35</v>
      </c>
      <c r="D149" s="12" t="s">
        <v>35</v>
      </c>
      <c r="E149" s="16" t="s">
        <v>35</v>
      </c>
      <c r="F149" s="12">
        <v>2</v>
      </c>
      <c r="G149" s="16" t="s">
        <v>74</v>
      </c>
      <c r="H149" s="16" t="s">
        <v>35</v>
      </c>
      <c r="I149" s="12"/>
      <c r="J149" s="12"/>
      <c r="K149" s="17"/>
    </row>
    <row r="150" spans="1:11" x14ac:dyDescent="0.2">
      <c r="A150" s="12" t="s">
        <v>35</v>
      </c>
      <c r="B150" s="16" t="s">
        <v>35</v>
      </c>
      <c r="C150" s="12" t="s">
        <v>35</v>
      </c>
      <c r="D150" s="12" t="s">
        <v>35</v>
      </c>
      <c r="E150" s="16" t="s">
        <v>35</v>
      </c>
      <c r="F150" s="12">
        <v>3</v>
      </c>
      <c r="G150" s="16" t="s">
        <v>76</v>
      </c>
      <c r="H150" s="16" t="s">
        <v>35</v>
      </c>
      <c r="I150" s="12"/>
      <c r="J150" s="12"/>
      <c r="K150" s="17"/>
    </row>
    <row r="151" spans="1:11" x14ac:dyDescent="0.2">
      <c r="A151" s="12" t="s">
        <v>35</v>
      </c>
      <c r="B151" s="16" t="s">
        <v>35</v>
      </c>
      <c r="C151" s="12" t="s">
        <v>35</v>
      </c>
      <c r="D151" s="12" t="s">
        <v>37</v>
      </c>
      <c r="E151" s="16" t="s">
        <v>219</v>
      </c>
      <c r="F151" s="12" t="s">
        <v>35</v>
      </c>
      <c r="G151" s="16" t="s">
        <v>35</v>
      </c>
      <c r="H151" s="16" t="s">
        <v>35</v>
      </c>
      <c r="I151" s="12">
        <v>4</v>
      </c>
      <c r="J151" s="12"/>
      <c r="K151" s="17">
        <v>1.5</v>
      </c>
    </row>
    <row r="152" spans="1:11" x14ac:dyDescent="0.2">
      <c r="A152" s="12" t="s">
        <v>35</v>
      </c>
      <c r="B152" s="16" t="s">
        <v>35</v>
      </c>
      <c r="C152" s="12" t="s">
        <v>35</v>
      </c>
      <c r="D152" s="12" t="s">
        <v>35</v>
      </c>
      <c r="E152" s="16" t="s">
        <v>35</v>
      </c>
      <c r="F152" s="12">
        <v>0</v>
      </c>
      <c r="G152" s="16" t="s">
        <v>93</v>
      </c>
      <c r="H152" s="16" t="s">
        <v>35</v>
      </c>
      <c r="I152" s="12"/>
      <c r="J152" s="12"/>
      <c r="K152" s="17"/>
    </row>
    <row r="153" spans="1:11" x14ac:dyDescent="0.2">
      <c r="A153" s="12" t="s">
        <v>35</v>
      </c>
      <c r="B153" s="16" t="s">
        <v>35</v>
      </c>
      <c r="C153" s="12" t="s">
        <v>35</v>
      </c>
      <c r="D153" s="12" t="s">
        <v>35</v>
      </c>
      <c r="E153" s="16" t="s">
        <v>35</v>
      </c>
      <c r="F153" s="12">
        <v>1</v>
      </c>
      <c r="G153" s="16" t="s">
        <v>94</v>
      </c>
      <c r="H153" s="16" t="s">
        <v>35</v>
      </c>
      <c r="I153" s="12"/>
      <c r="J153" s="12"/>
      <c r="K153" s="17"/>
    </row>
    <row r="154" spans="1:11" x14ac:dyDescent="0.2">
      <c r="A154" s="12" t="s">
        <v>35</v>
      </c>
      <c r="B154" s="16" t="s">
        <v>35</v>
      </c>
      <c r="C154" s="12" t="s">
        <v>35</v>
      </c>
      <c r="D154" s="12" t="s">
        <v>35</v>
      </c>
      <c r="E154" s="16" t="s">
        <v>35</v>
      </c>
      <c r="F154" s="12">
        <v>2</v>
      </c>
      <c r="G154" s="16" t="s">
        <v>95</v>
      </c>
      <c r="H154" s="16" t="s">
        <v>35</v>
      </c>
      <c r="I154" s="12"/>
      <c r="J154" s="12"/>
      <c r="K154" s="17"/>
    </row>
    <row r="155" spans="1:11" x14ac:dyDescent="0.2">
      <c r="A155" s="12" t="s">
        <v>35</v>
      </c>
      <c r="B155" s="16" t="s">
        <v>35</v>
      </c>
      <c r="C155" s="12" t="s">
        <v>35</v>
      </c>
      <c r="D155" s="12" t="s">
        <v>35</v>
      </c>
      <c r="E155" s="16" t="s">
        <v>35</v>
      </c>
      <c r="F155" s="12">
        <v>3</v>
      </c>
      <c r="G155" s="16" t="s">
        <v>96</v>
      </c>
      <c r="H155" s="16" t="s">
        <v>35</v>
      </c>
      <c r="I155" s="12"/>
      <c r="J155" s="12"/>
      <c r="K155" s="17"/>
    </row>
    <row r="156" spans="1:11" x14ac:dyDescent="0.2">
      <c r="A156" s="12" t="s">
        <v>46</v>
      </c>
      <c r="B156" s="16" t="s">
        <v>69</v>
      </c>
      <c r="C156" s="12">
        <v>3</v>
      </c>
      <c r="D156" s="16" t="s">
        <v>35</v>
      </c>
      <c r="E156" s="16" t="s">
        <v>35</v>
      </c>
      <c r="F156" s="16" t="s">
        <v>35</v>
      </c>
      <c r="G156" s="16" t="s">
        <v>35</v>
      </c>
      <c r="H156" s="16" t="s">
        <v>35</v>
      </c>
      <c r="I156" s="16" t="s">
        <v>35</v>
      </c>
      <c r="J156" s="16" t="s">
        <v>35</v>
      </c>
      <c r="K156" s="16" t="s">
        <v>35</v>
      </c>
    </row>
    <row r="157" spans="1:11" ht="12.75" customHeight="1" x14ac:dyDescent="0.2">
      <c r="A157" s="12" t="s">
        <v>35</v>
      </c>
      <c r="B157" s="16" t="s">
        <v>35</v>
      </c>
      <c r="C157" s="12" t="s">
        <v>35</v>
      </c>
      <c r="D157" s="12" t="s">
        <v>36</v>
      </c>
      <c r="E157" s="20" t="s">
        <v>173</v>
      </c>
      <c r="F157" s="12"/>
      <c r="G157" s="19" t="s">
        <v>226</v>
      </c>
      <c r="H157" s="16" t="s">
        <v>35</v>
      </c>
      <c r="I157" s="12">
        <v>3</v>
      </c>
      <c r="J157" s="12"/>
      <c r="K157" s="17">
        <v>1</v>
      </c>
    </row>
    <row r="158" spans="1:11" x14ac:dyDescent="0.2">
      <c r="A158" s="12" t="s">
        <v>35</v>
      </c>
      <c r="B158" s="16" t="s">
        <v>35</v>
      </c>
      <c r="C158" s="12" t="s">
        <v>35</v>
      </c>
      <c r="D158" s="12" t="s">
        <v>36</v>
      </c>
      <c r="E158" s="20" t="s">
        <v>174</v>
      </c>
      <c r="F158" s="12"/>
      <c r="G158" s="20" t="s">
        <v>225</v>
      </c>
      <c r="H158" s="16"/>
      <c r="I158" s="12">
        <v>1</v>
      </c>
      <c r="J158" s="12"/>
      <c r="K158" s="17">
        <v>0.3</v>
      </c>
    </row>
    <row r="159" spans="1:11" ht="12.75" customHeight="1" x14ac:dyDescent="0.2">
      <c r="A159" s="12" t="s">
        <v>35</v>
      </c>
      <c r="B159" s="16" t="s">
        <v>35</v>
      </c>
      <c r="C159" s="12" t="s">
        <v>35</v>
      </c>
      <c r="D159" s="12" t="s">
        <v>36</v>
      </c>
      <c r="E159" s="20" t="s">
        <v>277</v>
      </c>
      <c r="F159" s="12"/>
      <c r="G159" s="19" t="s">
        <v>292</v>
      </c>
      <c r="H159" s="16" t="s">
        <v>35</v>
      </c>
      <c r="I159" s="12">
        <v>4</v>
      </c>
      <c r="J159" s="12"/>
      <c r="K159" s="17">
        <v>1</v>
      </c>
    </row>
    <row r="160" spans="1:11" ht="12.75" customHeight="1" x14ac:dyDescent="0.2">
      <c r="A160" s="12" t="s">
        <v>35</v>
      </c>
      <c r="B160" s="16" t="s">
        <v>35</v>
      </c>
      <c r="C160" s="12" t="s">
        <v>35</v>
      </c>
      <c r="D160" s="12" t="s">
        <v>36</v>
      </c>
      <c r="E160" s="20" t="s">
        <v>278</v>
      </c>
      <c r="F160" s="12"/>
      <c r="G160" s="19" t="s">
        <v>296</v>
      </c>
      <c r="H160" s="16" t="s">
        <v>35</v>
      </c>
      <c r="I160" s="12">
        <v>5</v>
      </c>
      <c r="J160" s="12"/>
      <c r="K160" s="17">
        <v>0.8</v>
      </c>
    </row>
    <row r="161" spans="1:11" ht="12.75" customHeight="1" x14ac:dyDescent="0.2">
      <c r="A161" s="12" t="s">
        <v>35</v>
      </c>
      <c r="B161" s="16" t="s">
        <v>35</v>
      </c>
      <c r="C161" s="12" t="s">
        <v>35</v>
      </c>
      <c r="D161" s="12" t="s">
        <v>36</v>
      </c>
      <c r="E161" s="20" t="s">
        <v>279</v>
      </c>
      <c r="F161" s="12"/>
      <c r="G161" s="20" t="s">
        <v>284</v>
      </c>
      <c r="H161" s="16" t="s">
        <v>35</v>
      </c>
      <c r="I161" s="12">
        <v>6</v>
      </c>
      <c r="J161" s="12"/>
      <c r="K161" s="17">
        <v>1.5</v>
      </c>
    </row>
    <row r="162" spans="1:11" ht="12.75" customHeight="1" x14ac:dyDescent="0.2">
      <c r="A162" s="12" t="s">
        <v>35</v>
      </c>
      <c r="B162" s="16" t="s">
        <v>35</v>
      </c>
      <c r="C162" s="12" t="s">
        <v>35</v>
      </c>
      <c r="D162" s="12" t="s">
        <v>36</v>
      </c>
      <c r="E162" s="20" t="s">
        <v>280</v>
      </c>
      <c r="F162" s="12"/>
      <c r="G162" s="19" t="s">
        <v>298</v>
      </c>
      <c r="H162" s="16" t="s">
        <v>35</v>
      </c>
      <c r="I162" s="12">
        <v>4</v>
      </c>
      <c r="J162" s="12"/>
      <c r="K162" s="17">
        <v>1</v>
      </c>
    </row>
    <row r="163" spans="1:11" ht="12.75" customHeight="1" x14ac:dyDescent="0.2">
      <c r="A163" s="12" t="s">
        <v>35</v>
      </c>
      <c r="B163" s="16" t="s">
        <v>35</v>
      </c>
      <c r="C163" s="12" t="s">
        <v>35</v>
      </c>
      <c r="D163" s="12" t="s">
        <v>36</v>
      </c>
      <c r="E163" s="20" t="s">
        <v>281</v>
      </c>
      <c r="F163" s="12"/>
      <c r="G163" s="20" t="s">
        <v>282</v>
      </c>
      <c r="H163" s="16" t="s">
        <v>35</v>
      </c>
      <c r="I163" s="12">
        <v>5</v>
      </c>
      <c r="J163" s="12"/>
      <c r="K163" s="17">
        <v>1</v>
      </c>
    </row>
    <row r="164" spans="1:11" ht="12.75" customHeight="1" x14ac:dyDescent="0.2">
      <c r="A164" s="12" t="s">
        <v>35</v>
      </c>
      <c r="B164" s="16" t="s">
        <v>35</v>
      </c>
      <c r="C164" s="12" t="s">
        <v>35</v>
      </c>
      <c r="D164" s="12" t="s">
        <v>36</v>
      </c>
      <c r="E164" s="20" t="s">
        <v>283</v>
      </c>
      <c r="F164" s="12"/>
      <c r="G164" s="19" t="s">
        <v>294</v>
      </c>
      <c r="H164" s="16" t="s">
        <v>35</v>
      </c>
      <c r="I164" s="12">
        <v>6</v>
      </c>
      <c r="J164" s="12"/>
      <c r="K164" s="17">
        <v>1</v>
      </c>
    </row>
    <row r="165" spans="1:11" x14ac:dyDescent="0.2">
      <c r="A165" s="12" t="s">
        <v>35</v>
      </c>
      <c r="B165" s="16" t="s">
        <v>35</v>
      </c>
      <c r="C165" s="12" t="s">
        <v>35</v>
      </c>
      <c r="D165" s="12" t="s">
        <v>36</v>
      </c>
      <c r="E165" s="20" t="s">
        <v>285</v>
      </c>
      <c r="F165" s="12"/>
      <c r="G165" s="20" t="s">
        <v>286</v>
      </c>
      <c r="H165" s="16" t="s">
        <v>35</v>
      </c>
      <c r="I165" s="12">
        <v>1</v>
      </c>
      <c r="J165" s="12"/>
      <c r="K165" s="17">
        <v>1.5</v>
      </c>
    </row>
    <row r="166" spans="1:11" ht="12.75" customHeight="1" x14ac:dyDescent="0.2">
      <c r="A166" s="12" t="s">
        <v>35</v>
      </c>
      <c r="B166" s="16" t="s">
        <v>35</v>
      </c>
      <c r="C166" s="12" t="s">
        <v>35</v>
      </c>
      <c r="D166" s="12" t="s">
        <v>36</v>
      </c>
      <c r="E166" s="20" t="s">
        <v>287</v>
      </c>
      <c r="F166" s="12"/>
      <c r="G166" s="19" t="s">
        <v>293</v>
      </c>
      <c r="H166" s="16" t="s">
        <v>35</v>
      </c>
      <c r="I166" s="12">
        <v>4</v>
      </c>
      <c r="J166" s="12"/>
      <c r="K166" s="17">
        <v>0.3</v>
      </c>
    </row>
    <row r="167" spans="1:11" ht="12.75" customHeight="1" x14ac:dyDescent="0.2">
      <c r="A167" s="12" t="s">
        <v>35</v>
      </c>
      <c r="B167" s="16" t="s">
        <v>35</v>
      </c>
      <c r="C167" s="12" t="s">
        <v>35</v>
      </c>
      <c r="D167" s="12" t="s">
        <v>36</v>
      </c>
      <c r="E167" s="20" t="s">
        <v>288</v>
      </c>
      <c r="F167" s="12"/>
      <c r="G167" s="19" t="s">
        <v>297</v>
      </c>
      <c r="H167" s="16" t="s">
        <v>35</v>
      </c>
      <c r="I167" s="12">
        <v>5</v>
      </c>
      <c r="J167" s="12"/>
      <c r="K167" s="17">
        <v>1</v>
      </c>
    </row>
    <row r="168" spans="1:11" ht="12.75" customHeight="1" x14ac:dyDescent="0.2">
      <c r="A168" s="12" t="s">
        <v>35</v>
      </c>
      <c r="B168" s="16" t="s">
        <v>35</v>
      </c>
      <c r="C168" s="12" t="s">
        <v>35</v>
      </c>
      <c r="D168" s="12" t="s">
        <v>36</v>
      </c>
      <c r="E168" s="20" t="s">
        <v>289</v>
      </c>
      <c r="F168" s="12"/>
      <c r="G168" s="19" t="s">
        <v>295</v>
      </c>
      <c r="H168" s="16" t="s">
        <v>35</v>
      </c>
      <c r="I168" s="12">
        <v>6</v>
      </c>
      <c r="J168" s="12"/>
      <c r="K168" s="17">
        <v>0.4</v>
      </c>
    </row>
    <row r="169" spans="1:11" ht="12.75" customHeight="1" x14ac:dyDescent="0.2">
      <c r="A169" s="12" t="s">
        <v>35</v>
      </c>
      <c r="B169" s="16" t="s">
        <v>35</v>
      </c>
      <c r="C169" s="12" t="s">
        <v>35</v>
      </c>
      <c r="D169" s="12" t="s">
        <v>36</v>
      </c>
      <c r="E169" s="20" t="s">
        <v>290</v>
      </c>
      <c r="F169" s="12"/>
      <c r="G169" s="20" t="s">
        <v>291</v>
      </c>
      <c r="H169" s="16" t="s">
        <v>35</v>
      </c>
      <c r="I169" s="12">
        <v>5</v>
      </c>
      <c r="J169" s="12"/>
      <c r="K169" s="17">
        <v>1.2</v>
      </c>
    </row>
    <row r="170" spans="1:11" x14ac:dyDescent="0.2">
      <c r="A170" s="12" t="s">
        <v>35</v>
      </c>
      <c r="B170" s="16" t="s">
        <v>35</v>
      </c>
      <c r="C170" s="12" t="s">
        <v>35</v>
      </c>
      <c r="D170" s="12" t="s">
        <v>37</v>
      </c>
      <c r="E170" s="16" t="s">
        <v>72</v>
      </c>
      <c r="F170" s="12" t="s">
        <v>35</v>
      </c>
      <c r="G170" s="16" t="s">
        <v>35</v>
      </c>
      <c r="H170" s="16" t="s">
        <v>35</v>
      </c>
      <c r="I170" s="12">
        <v>4</v>
      </c>
      <c r="J170" s="12"/>
      <c r="K170" s="17">
        <v>1.5</v>
      </c>
    </row>
    <row r="171" spans="1:11" x14ac:dyDescent="0.2">
      <c r="A171" s="12" t="s">
        <v>35</v>
      </c>
      <c r="B171" s="16" t="s">
        <v>35</v>
      </c>
      <c r="C171" s="12" t="s">
        <v>35</v>
      </c>
      <c r="D171" s="12" t="s">
        <v>35</v>
      </c>
      <c r="E171" s="16" t="s">
        <v>35</v>
      </c>
      <c r="F171" s="12">
        <v>0</v>
      </c>
      <c r="G171" s="16" t="s">
        <v>73</v>
      </c>
      <c r="H171" s="16" t="s">
        <v>35</v>
      </c>
      <c r="I171" s="12"/>
      <c r="J171" s="12"/>
      <c r="K171" s="17"/>
    </row>
    <row r="172" spans="1:11" x14ac:dyDescent="0.2">
      <c r="A172" s="12" t="s">
        <v>35</v>
      </c>
      <c r="B172" s="16" t="s">
        <v>35</v>
      </c>
      <c r="C172" s="12" t="s">
        <v>35</v>
      </c>
      <c r="D172" s="12" t="s">
        <v>35</v>
      </c>
      <c r="E172" s="16" t="s">
        <v>35</v>
      </c>
      <c r="F172" s="12">
        <v>1</v>
      </c>
      <c r="G172" s="16" t="s">
        <v>75</v>
      </c>
      <c r="H172" s="16" t="s">
        <v>35</v>
      </c>
      <c r="I172" s="12"/>
      <c r="J172" s="12"/>
      <c r="K172" s="17"/>
    </row>
    <row r="173" spans="1:11" x14ac:dyDescent="0.2">
      <c r="A173" s="12" t="s">
        <v>35</v>
      </c>
      <c r="B173" s="16" t="s">
        <v>35</v>
      </c>
      <c r="C173" s="12" t="s">
        <v>35</v>
      </c>
      <c r="D173" s="12" t="s">
        <v>35</v>
      </c>
      <c r="E173" s="16" t="s">
        <v>35</v>
      </c>
      <c r="F173" s="12">
        <v>2</v>
      </c>
      <c r="G173" s="16" t="s">
        <v>74</v>
      </c>
      <c r="H173" s="16" t="s">
        <v>35</v>
      </c>
      <c r="I173" s="12"/>
      <c r="J173" s="12"/>
      <c r="K173" s="17"/>
    </row>
    <row r="174" spans="1:11" x14ac:dyDescent="0.2">
      <c r="A174" s="12" t="s">
        <v>35</v>
      </c>
      <c r="B174" s="16" t="s">
        <v>35</v>
      </c>
      <c r="C174" s="12" t="s">
        <v>35</v>
      </c>
      <c r="D174" s="12" t="s">
        <v>35</v>
      </c>
      <c r="E174" s="16" t="s">
        <v>35</v>
      </c>
      <c r="F174" s="12">
        <v>3</v>
      </c>
      <c r="G174" s="16" t="s">
        <v>76</v>
      </c>
      <c r="H174" s="16" t="s">
        <v>35</v>
      </c>
      <c r="I174" s="12"/>
      <c r="J174" s="12"/>
      <c r="K174" s="17"/>
    </row>
    <row r="175" spans="1:11" x14ac:dyDescent="0.2">
      <c r="A175" s="12" t="s">
        <v>35</v>
      </c>
      <c r="B175" s="16" t="s">
        <v>35</v>
      </c>
      <c r="C175" s="12" t="s">
        <v>35</v>
      </c>
      <c r="D175" s="12" t="s">
        <v>37</v>
      </c>
      <c r="E175" s="16" t="s">
        <v>92</v>
      </c>
      <c r="F175" s="12" t="s">
        <v>35</v>
      </c>
      <c r="G175" s="16" t="s">
        <v>35</v>
      </c>
      <c r="H175" s="16" t="s">
        <v>35</v>
      </c>
      <c r="I175" s="12">
        <v>4</v>
      </c>
      <c r="J175" s="12"/>
      <c r="K175" s="17">
        <v>1.5</v>
      </c>
    </row>
    <row r="176" spans="1:11" x14ac:dyDescent="0.2">
      <c r="A176" s="12" t="s">
        <v>35</v>
      </c>
      <c r="B176" s="16" t="s">
        <v>35</v>
      </c>
      <c r="C176" s="12" t="s">
        <v>35</v>
      </c>
      <c r="D176" s="12" t="s">
        <v>35</v>
      </c>
      <c r="E176" s="16" t="s">
        <v>35</v>
      </c>
      <c r="F176" s="12">
        <v>0</v>
      </c>
      <c r="G176" s="16" t="s">
        <v>93</v>
      </c>
      <c r="H176" s="16" t="s">
        <v>35</v>
      </c>
      <c r="I176" s="12"/>
      <c r="J176" s="12"/>
      <c r="K176" s="17"/>
    </row>
    <row r="177" spans="1:14" x14ac:dyDescent="0.2">
      <c r="A177" s="12" t="s">
        <v>35</v>
      </c>
      <c r="B177" s="16" t="s">
        <v>35</v>
      </c>
      <c r="C177" s="12" t="s">
        <v>35</v>
      </c>
      <c r="D177" s="12" t="s">
        <v>35</v>
      </c>
      <c r="E177" s="16" t="s">
        <v>35</v>
      </c>
      <c r="F177" s="12">
        <v>1</v>
      </c>
      <c r="G177" s="16" t="s">
        <v>94</v>
      </c>
      <c r="H177" s="16" t="s">
        <v>35</v>
      </c>
      <c r="I177" s="12"/>
      <c r="J177" s="12"/>
      <c r="K177" s="17"/>
    </row>
    <row r="178" spans="1:14" x14ac:dyDescent="0.2">
      <c r="A178" s="12" t="s">
        <v>35</v>
      </c>
      <c r="B178" s="16" t="s">
        <v>35</v>
      </c>
      <c r="C178" s="12" t="s">
        <v>35</v>
      </c>
      <c r="D178" s="12" t="s">
        <v>35</v>
      </c>
      <c r="E178" s="16" t="s">
        <v>35</v>
      </c>
      <c r="F178" s="12">
        <v>2</v>
      </c>
      <c r="G178" s="16" t="s">
        <v>95</v>
      </c>
      <c r="H178" s="16" t="s">
        <v>35</v>
      </c>
      <c r="I178" s="12"/>
      <c r="J178" s="12"/>
      <c r="K178" s="17"/>
    </row>
    <row r="179" spans="1:14" x14ac:dyDescent="0.2">
      <c r="A179" s="12" t="s">
        <v>35</v>
      </c>
      <c r="B179" s="16" t="s">
        <v>35</v>
      </c>
      <c r="C179" s="12" t="s">
        <v>35</v>
      </c>
      <c r="D179" s="12" t="s">
        <v>35</v>
      </c>
      <c r="E179" s="16" t="s">
        <v>35</v>
      </c>
      <c r="F179" s="12">
        <v>3</v>
      </c>
      <c r="G179" s="16" t="s">
        <v>96</v>
      </c>
      <c r="H179" s="16" t="s">
        <v>35</v>
      </c>
      <c r="I179" s="12"/>
      <c r="J179" s="12"/>
      <c r="K179" s="17"/>
    </row>
    <row r="180" spans="1:14" x14ac:dyDescent="0.2">
      <c r="A180" s="12" t="s">
        <v>35</v>
      </c>
      <c r="B180" s="16" t="s">
        <v>35</v>
      </c>
      <c r="C180" s="12" t="s">
        <v>35</v>
      </c>
      <c r="D180" s="12" t="s">
        <v>35</v>
      </c>
      <c r="E180" s="16" t="s">
        <v>35</v>
      </c>
      <c r="F180" s="12" t="s">
        <v>35</v>
      </c>
      <c r="G180" s="16" t="s">
        <v>35</v>
      </c>
      <c r="H180" s="16" t="s">
        <v>35</v>
      </c>
      <c r="I180" s="12"/>
      <c r="J180" s="12"/>
      <c r="K180" s="17"/>
    </row>
    <row r="181" spans="1:14" x14ac:dyDescent="0.2">
      <c r="A181" s="12" t="s">
        <v>35</v>
      </c>
      <c r="B181" s="16" t="s">
        <v>35</v>
      </c>
      <c r="C181" s="12" t="s">
        <v>35</v>
      </c>
      <c r="D181" s="12" t="s">
        <v>35</v>
      </c>
      <c r="E181" s="16" t="s">
        <v>35</v>
      </c>
      <c r="F181" s="12" t="s">
        <v>35</v>
      </c>
      <c r="G181" s="16" t="s">
        <v>35</v>
      </c>
      <c r="H181" s="16" t="s">
        <v>35</v>
      </c>
      <c r="I181" s="12"/>
      <c r="J181" s="12"/>
      <c r="K181" s="17"/>
    </row>
    <row r="182" spans="1:14" ht="63.75" x14ac:dyDescent="0.2">
      <c r="A182" s="3" t="s">
        <v>21</v>
      </c>
      <c r="B182" s="3" t="s">
        <v>22</v>
      </c>
      <c r="C182" s="3" t="s">
        <v>23</v>
      </c>
      <c r="D182" s="3" t="s">
        <v>24</v>
      </c>
      <c r="E182" s="3" t="s">
        <v>25</v>
      </c>
      <c r="F182" s="3" t="s">
        <v>26</v>
      </c>
      <c r="G182" s="3" t="s">
        <v>27</v>
      </c>
      <c r="H182" s="3" t="s">
        <v>28</v>
      </c>
      <c r="I182" s="3" t="s">
        <v>29</v>
      </c>
      <c r="J182" s="3" t="s">
        <v>30</v>
      </c>
      <c r="K182" s="3" t="s">
        <v>31</v>
      </c>
      <c r="L182" s="4" t="s">
        <v>47</v>
      </c>
      <c r="M182" s="5" t="s">
        <v>33</v>
      </c>
      <c r="N182" s="6">
        <f>SUM(K183:K212)</f>
        <v>20</v>
      </c>
    </row>
    <row r="183" spans="1:14" x14ac:dyDescent="0.2">
      <c r="A183" s="12" t="s">
        <v>48</v>
      </c>
      <c r="B183" s="16" t="s">
        <v>70</v>
      </c>
      <c r="C183" s="12">
        <v>4</v>
      </c>
      <c r="D183" s="16" t="s">
        <v>35</v>
      </c>
      <c r="E183" s="16" t="s">
        <v>35</v>
      </c>
      <c r="F183" s="16" t="s">
        <v>35</v>
      </c>
      <c r="G183" s="16" t="s">
        <v>35</v>
      </c>
      <c r="H183" s="16" t="s">
        <v>35</v>
      </c>
      <c r="I183" s="16" t="s">
        <v>35</v>
      </c>
      <c r="J183" s="16" t="s">
        <v>35</v>
      </c>
      <c r="K183" s="16" t="s">
        <v>35</v>
      </c>
    </row>
    <row r="184" spans="1:14" ht="12.75" customHeight="1" x14ac:dyDescent="0.2">
      <c r="A184" s="12" t="s">
        <v>35</v>
      </c>
      <c r="B184" s="16" t="s">
        <v>35</v>
      </c>
      <c r="C184" s="12" t="s">
        <v>35</v>
      </c>
      <c r="D184" s="12" t="s">
        <v>36</v>
      </c>
      <c r="E184" s="20" t="s">
        <v>173</v>
      </c>
      <c r="F184" s="12"/>
      <c r="G184" s="19" t="s">
        <v>237</v>
      </c>
      <c r="H184" s="16" t="s">
        <v>35</v>
      </c>
      <c r="I184" s="12">
        <v>1</v>
      </c>
      <c r="J184" s="12"/>
      <c r="K184" s="17">
        <v>1</v>
      </c>
    </row>
    <row r="185" spans="1:14" x14ac:dyDescent="0.2">
      <c r="A185" s="12" t="s">
        <v>35</v>
      </c>
      <c r="B185" s="16" t="s">
        <v>35</v>
      </c>
      <c r="C185" s="12" t="s">
        <v>35</v>
      </c>
      <c r="D185" s="12" t="s">
        <v>36</v>
      </c>
      <c r="E185" s="20" t="s">
        <v>174</v>
      </c>
      <c r="F185" s="12"/>
      <c r="G185" s="20" t="s">
        <v>238</v>
      </c>
      <c r="H185" s="16"/>
      <c r="I185" s="12">
        <v>1</v>
      </c>
      <c r="J185" s="12"/>
      <c r="K185" s="17">
        <v>0.3</v>
      </c>
    </row>
    <row r="186" spans="1:14" ht="12.75" customHeight="1" x14ac:dyDescent="0.2">
      <c r="A186" s="12" t="s">
        <v>35</v>
      </c>
      <c r="B186" s="16" t="s">
        <v>35</v>
      </c>
      <c r="C186" s="12" t="s">
        <v>35</v>
      </c>
      <c r="D186" s="12" t="s">
        <v>36</v>
      </c>
      <c r="E186" s="16" t="s">
        <v>239</v>
      </c>
      <c r="F186" s="12"/>
      <c r="G186" s="41" t="s">
        <v>244</v>
      </c>
      <c r="H186" s="16" t="s">
        <v>35</v>
      </c>
      <c r="I186" s="12">
        <v>6</v>
      </c>
      <c r="J186" s="12"/>
      <c r="K186" s="17">
        <v>1.5</v>
      </c>
    </row>
    <row r="187" spans="1:14" ht="12.75" customHeight="1" x14ac:dyDescent="0.2">
      <c r="A187" s="12" t="s">
        <v>35</v>
      </c>
      <c r="B187" s="16" t="s">
        <v>35</v>
      </c>
      <c r="C187" s="12" t="s">
        <v>35</v>
      </c>
      <c r="D187" s="12" t="s">
        <v>36</v>
      </c>
      <c r="E187" s="16" t="s">
        <v>241</v>
      </c>
      <c r="F187" s="12"/>
      <c r="G187" s="41" t="s">
        <v>245</v>
      </c>
      <c r="H187" s="16" t="s">
        <v>35</v>
      </c>
      <c r="I187" s="12">
        <v>6</v>
      </c>
      <c r="J187" s="12"/>
      <c r="K187" s="17">
        <v>0.6</v>
      </c>
    </row>
    <row r="188" spans="1:14" ht="12.75" customHeight="1" x14ac:dyDescent="0.2">
      <c r="A188" s="12" t="s">
        <v>35</v>
      </c>
      <c r="B188" s="16" t="s">
        <v>35</v>
      </c>
      <c r="C188" s="12" t="s">
        <v>35</v>
      </c>
      <c r="D188" s="12" t="s">
        <v>36</v>
      </c>
      <c r="E188" s="16" t="s">
        <v>240</v>
      </c>
      <c r="F188" s="12"/>
      <c r="G188" s="41" t="s">
        <v>246</v>
      </c>
      <c r="H188" s="16" t="s">
        <v>35</v>
      </c>
      <c r="I188" s="12">
        <v>6</v>
      </c>
      <c r="J188" s="12"/>
      <c r="K188" s="17">
        <v>0.6</v>
      </c>
    </row>
    <row r="189" spans="1:14" ht="12.75" customHeight="1" x14ac:dyDescent="0.2">
      <c r="A189" s="12" t="s">
        <v>35</v>
      </c>
      <c r="B189" s="16" t="s">
        <v>35</v>
      </c>
      <c r="C189" s="12" t="s">
        <v>35</v>
      </c>
      <c r="D189" s="12" t="s">
        <v>36</v>
      </c>
      <c r="E189" s="16" t="s">
        <v>242</v>
      </c>
      <c r="F189" s="12"/>
      <c r="G189" s="41" t="s">
        <v>247</v>
      </c>
      <c r="H189" s="16" t="s">
        <v>35</v>
      </c>
      <c r="I189" s="12">
        <v>6</v>
      </c>
      <c r="J189" s="12"/>
      <c r="K189" s="17">
        <v>1.8</v>
      </c>
    </row>
    <row r="190" spans="1:14" ht="12.75" customHeight="1" x14ac:dyDescent="0.2">
      <c r="A190" s="12" t="s">
        <v>35</v>
      </c>
      <c r="B190" s="16" t="s">
        <v>35</v>
      </c>
      <c r="C190" s="12" t="s">
        <v>35</v>
      </c>
      <c r="D190" s="12" t="s">
        <v>36</v>
      </c>
      <c r="E190" s="16" t="s">
        <v>243</v>
      </c>
      <c r="F190" s="12"/>
      <c r="G190" s="41" t="s">
        <v>248</v>
      </c>
      <c r="H190" s="16" t="s">
        <v>35</v>
      </c>
      <c r="I190" s="12">
        <v>6</v>
      </c>
      <c r="J190" s="12"/>
      <c r="K190" s="17">
        <v>0.2</v>
      </c>
    </row>
    <row r="191" spans="1:14" x14ac:dyDescent="0.2">
      <c r="A191" s="12" t="s">
        <v>35</v>
      </c>
      <c r="B191" s="16" t="s">
        <v>35</v>
      </c>
      <c r="C191" s="12" t="s">
        <v>35</v>
      </c>
      <c r="D191" s="12" t="s">
        <v>37</v>
      </c>
      <c r="E191" s="16" t="s">
        <v>97</v>
      </c>
      <c r="F191" s="12" t="s">
        <v>35</v>
      </c>
      <c r="G191" s="16" t="s">
        <v>35</v>
      </c>
      <c r="H191" s="16" t="s">
        <v>35</v>
      </c>
      <c r="I191" s="12">
        <v>3</v>
      </c>
      <c r="J191" s="12"/>
      <c r="K191" s="17">
        <v>1</v>
      </c>
    </row>
    <row r="192" spans="1:14" x14ac:dyDescent="0.2">
      <c r="A192" s="12" t="s">
        <v>35</v>
      </c>
      <c r="B192" s="16" t="s">
        <v>35</v>
      </c>
      <c r="C192" s="12" t="s">
        <v>35</v>
      </c>
      <c r="D192" s="12" t="s">
        <v>35</v>
      </c>
      <c r="E192" s="16" t="s">
        <v>35</v>
      </c>
      <c r="F192" s="12">
        <v>0</v>
      </c>
      <c r="G192" s="16" t="s">
        <v>73</v>
      </c>
      <c r="H192" s="16" t="s">
        <v>35</v>
      </c>
      <c r="I192" s="12"/>
      <c r="J192" s="12"/>
      <c r="K192" s="17"/>
    </row>
    <row r="193" spans="1:11" x14ac:dyDescent="0.2">
      <c r="A193" s="12" t="s">
        <v>35</v>
      </c>
      <c r="B193" s="16" t="s">
        <v>35</v>
      </c>
      <c r="C193" s="12" t="s">
        <v>35</v>
      </c>
      <c r="D193" s="12" t="s">
        <v>35</v>
      </c>
      <c r="E193" s="16" t="s">
        <v>35</v>
      </c>
      <c r="F193" s="12">
        <v>1</v>
      </c>
      <c r="G193" s="16" t="s">
        <v>98</v>
      </c>
      <c r="H193" s="16" t="s">
        <v>35</v>
      </c>
      <c r="I193" s="12"/>
      <c r="J193" s="12"/>
      <c r="K193" s="17"/>
    </row>
    <row r="194" spans="1:11" x14ac:dyDescent="0.2">
      <c r="A194" s="12" t="s">
        <v>35</v>
      </c>
      <c r="B194" s="16" t="s">
        <v>35</v>
      </c>
      <c r="C194" s="12" t="s">
        <v>35</v>
      </c>
      <c r="D194" s="12" t="s">
        <v>35</v>
      </c>
      <c r="E194" s="16" t="s">
        <v>35</v>
      </c>
      <c r="F194" s="12">
        <v>2</v>
      </c>
      <c r="G194" s="16" t="s">
        <v>99</v>
      </c>
      <c r="H194" s="16" t="s">
        <v>35</v>
      </c>
      <c r="I194" s="12"/>
      <c r="J194" s="12"/>
      <c r="K194" s="17"/>
    </row>
    <row r="195" spans="1:11" x14ac:dyDescent="0.2">
      <c r="A195" s="12" t="s">
        <v>35</v>
      </c>
      <c r="B195" s="16" t="s">
        <v>35</v>
      </c>
      <c r="C195" s="12" t="s">
        <v>35</v>
      </c>
      <c r="D195" s="12" t="s">
        <v>35</v>
      </c>
      <c r="E195" s="16" t="s">
        <v>35</v>
      </c>
      <c r="F195" s="12">
        <v>3</v>
      </c>
      <c r="G195" s="16" t="s">
        <v>100</v>
      </c>
      <c r="H195" s="16" t="s">
        <v>35</v>
      </c>
      <c r="I195" s="12"/>
      <c r="J195" s="12"/>
      <c r="K195" s="17"/>
    </row>
    <row r="196" spans="1:11" x14ac:dyDescent="0.2">
      <c r="A196" s="12" t="s">
        <v>49</v>
      </c>
      <c r="B196" s="16" t="s">
        <v>71</v>
      </c>
      <c r="C196" s="12">
        <v>4</v>
      </c>
      <c r="D196" s="16" t="s">
        <v>35</v>
      </c>
      <c r="E196" s="16" t="s">
        <v>35</v>
      </c>
      <c r="F196" s="16" t="s">
        <v>35</v>
      </c>
      <c r="G196" s="16" t="s">
        <v>35</v>
      </c>
      <c r="H196" s="16" t="s">
        <v>35</v>
      </c>
      <c r="I196" s="16" t="s">
        <v>35</v>
      </c>
      <c r="J196" s="16" t="s">
        <v>35</v>
      </c>
      <c r="K196" s="16" t="s">
        <v>35</v>
      </c>
    </row>
    <row r="197" spans="1:11" x14ac:dyDescent="0.2">
      <c r="A197" s="12" t="s">
        <v>35</v>
      </c>
      <c r="B197" s="16" t="s">
        <v>35</v>
      </c>
      <c r="C197" s="12" t="s">
        <v>35</v>
      </c>
      <c r="D197" s="12" t="s">
        <v>36</v>
      </c>
      <c r="E197" s="16" t="s">
        <v>251</v>
      </c>
      <c r="F197" s="12" t="s">
        <v>35</v>
      </c>
      <c r="G197" s="41" t="s">
        <v>264</v>
      </c>
      <c r="H197" s="16" t="s">
        <v>35</v>
      </c>
      <c r="I197" s="12">
        <v>4</v>
      </c>
      <c r="J197" s="12"/>
      <c r="K197" s="17">
        <v>0.5</v>
      </c>
    </row>
    <row r="198" spans="1:11" x14ac:dyDescent="0.2">
      <c r="A198" s="12" t="s">
        <v>35</v>
      </c>
      <c r="B198" s="16" t="s">
        <v>35</v>
      </c>
      <c r="C198" s="12" t="s">
        <v>35</v>
      </c>
      <c r="D198" s="12" t="s">
        <v>36</v>
      </c>
      <c r="E198" s="16" t="s">
        <v>252</v>
      </c>
      <c r="F198" s="12" t="s">
        <v>35</v>
      </c>
      <c r="G198" s="16" t="s">
        <v>265</v>
      </c>
      <c r="H198" s="16" t="s">
        <v>35</v>
      </c>
      <c r="I198" s="12">
        <v>7</v>
      </c>
      <c r="J198" s="12"/>
      <c r="K198" s="17">
        <v>1</v>
      </c>
    </row>
    <row r="199" spans="1:11" x14ac:dyDescent="0.2">
      <c r="A199" s="12" t="s">
        <v>35</v>
      </c>
      <c r="B199" s="16" t="s">
        <v>35</v>
      </c>
      <c r="C199" s="12" t="s">
        <v>35</v>
      </c>
      <c r="D199" s="12" t="s">
        <v>36</v>
      </c>
      <c r="E199" s="16" t="s">
        <v>253</v>
      </c>
      <c r="F199" s="12" t="s">
        <v>35</v>
      </c>
      <c r="G199" s="16" t="s">
        <v>266</v>
      </c>
      <c r="H199" s="16" t="s">
        <v>35</v>
      </c>
      <c r="I199" s="12">
        <v>7</v>
      </c>
      <c r="J199" s="12"/>
      <c r="K199" s="17">
        <v>1</v>
      </c>
    </row>
    <row r="200" spans="1:11" x14ac:dyDescent="0.2">
      <c r="A200" s="12" t="s">
        <v>35</v>
      </c>
      <c r="B200" s="16" t="s">
        <v>35</v>
      </c>
      <c r="C200" s="12" t="s">
        <v>35</v>
      </c>
      <c r="D200" s="12" t="s">
        <v>36</v>
      </c>
      <c r="E200" s="16" t="s">
        <v>254</v>
      </c>
      <c r="F200" s="12" t="s">
        <v>35</v>
      </c>
      <c r="G200" s="16" t="s">
        <v>267</v>
      </c>
      <c r="H200" s="16" t="s">
        <v>35</v>
      </c>
      <c r="I200" s="12">
        <v>7</v>
      </c>
      <c r="J200" s="12"/>
      <c r="K200" s="17">
        <v>1</v>
      </c>
    </row>
    <row r="201" spans="1:11" x14ac:dyDescent="0.2">
      <c r="A201" s="12" t="s">
        <v>35</v>
      </c>
      <c r="B201" s="16" t="s">
        <v>35</v>
      </c>
      <c r="C201" s="12" t="s">
        <v>35</v>
      </c>
      <c r="D201" s="12" t="s">
        <v>36</v>
      </c>
      <c r="E201" s="16" t="s">
        <v>255</v>
      </c>
      <c r="F201" s="12" t="s">
        <v>35</v>
      </c>
      <c r="G201" s="16" t="s">
        <v>268</v>
      </c>
      <c r="H201" s="16" t="s">
        <v>35</v>
      </c>
      <c r="I201" s="12">
        <v>6</v>
      </c>
      <c r="J201" s="12"/>
      <c r="K201" s="17">
        <v>1</v>
      </c>
    </row>
    <row r="202" spans="1:11" x14ac:dyDescent="0.2">
      <c r="A202" s="12" t="s">
        <v>35</v>
      </c>
      <c r="B202" s="16" t="s">
        <v>35</v>
      </c>
      <c r="C202" s="12" t="s">
        <v>35</v>
      </c>
      <c r="D202" s="12" t="s">
        <v>36</v>
      </c>
      <c r="E202" s="16" t="s">
        <v>256</v>
      </c>
      <c r="F202" s="12" t="s">
        <v>35</v>
      </c>
      <c r="G202" s="16" t="s">
        <v>269</v>
      </c>
      <c r="H202" s="16" t="s">
        <v>35</v>
      </c>
      <c r="I202" s="12">
        <v>7</v>
      </c>
      <c r="J202" s="12"/>
      <c r="K202" s="17">
        <v>1</v>
      </c>
    </row>
    <row r="203" spans="1:11" x14ac:dyDescent="0.2">
      <c r="A203" s="12" t="s">
        <v>35</v>
      </c>
      <c r="B203" s="16" t="s">
        <v>35</v>
      </c>
      <c r="C203" s="12" t="s">
        <v>35</v>
      </c>
      <c r="D203" s="12" t="s">
        <v>36</v>
      </c>
      <c r="E203" s="16" t="s">
        <v>257</v>
      </c>
      <c r="F203" s="12" t="s">
        <v>35</v>
      </c>
      <c r="G203" s="16" t="s">
        <v>270</v>
      </c>
      <c r="H203" s="16" t="s">
        <v>35</v>
      </c>
      <c r="I203" s="12">
        <v>7</v>
      </c>
      <c r="J203" s="12"/>
      <c r="K203" s="17">
        <v>1</v>
      </c>
    </row>
    <row r="204" spans="1:11" x14ac:dyDescent="0.2">
      <c r="A204" s="12" t="s">
        <v>35</v>
      </c>
      <c r="B204" s="16" t="s">
        <v>35</v>
      </c>
      <c r="C204" s="12" t="s">
        <v>35</v>
      </c>
      <c r="D204" s="12" t="s">
        <v>36</v>
      </c>
      <c r="E204" s="16" t="s">
        <v>258</v>
      </c>
      <c r="F204" s="12" t="s">
        <v>35</v>
      </c>
      <c r="G204" s="16" t="s">
        <v>271</v>
      </c>
      <c r="H204" s="16" t="s">
        <v>35</v>
      </c>
      <c r="I204" s="12">
        <v>7</v>
      </c>
      <c r="J204" s="12"/>
      <c r="K204" s="17">
        <v>1</v>
      </c>
    </row>
    <row r="205" spans="1:11" x14ac:dyDescent="0.2">
      <c r="A205" s="12" t="s">
        <v>35</v>
      </c>
      <c r="B205" s="16" t="s">
        <v>35</v>
      </c>
      <c r="C205" s="12" t="s">
        <v>35</v>
      </c>
      <c r="D205" s="12" t="s">
        <v>36</v>
      </c>
      <c r="E205" s="16" t="s">
        <v>259</v>
      </c>
      <c r="F205" s="12" t="s">
        <v>35</v>
      </c>
      <c r="G205" s="16" t="s">
        <v>272</v>
      </c>
      <c r="H205" s="16" t="s">
        <v>35</v>
      </c>
      <c r="I205" s="12">
        <v>7</v>
      </c>
      <c r="J205" s="12"/>
      <c r="K205" s="17">
        <v>1</v>
      </c>
    </row>
    <row r="206" spans="1:11" x14ac:dyDescent="0.2">
      <c r="A206" s="12" t="s">
        <v>35</v>
      </c>
      <c r="B206" s="16" t="s">
        <v>35</v>
      </c>
      <c r="C206" s="12" t="s">
        <v>35</v>
      </c>
      <c r="D206" s="12" t="s">
        <v>36</v>
      </c>
      <c r="E206" s="16" t="s">
        <v>260</v>
      </c>
      <c r="F206" s="12" t="s">
        <v>35</v>
      </c>
      <c r="G206" s="16" t="s">
        <v>273</v>
      </c>
      <c r="H206" s="16" t="s">
        <v>35</v>
      </c>
      <c r="I206" s="12">
        <v>7</v>
      </c>
      <c r="J206" s="12"/>
      <c r="K206" s="17">
        <v>1</v>
      </c>
    </row>
    <row r="207" spans="1:11" x14ac:dyDescent="0.2">
      <c r="A207" s="12" t="s">
        <v>35</v>
      </c>
      <c r="B207" s="16" t="s">
        <v>35</v>
      </c>
      <c r="C207" s="12" t="s">
        <v>35</v>
      </c>
      <c r="D207" s="12" t="s">
        <v>36</v>
      </c>
      <c r="E207" s="16" t="s">
        <v>261</v>
      </c>
      <c r="F207" s="12" t="s">
        <v>35</v>
      </c>
      <c r="G207" s="16" t="s">
        <v>274</v>
      </c>
      <c r="H207" s="16" t="s">
        <v>35</v>
      </c>
      <c r="I207" s="12">
        <v>7</v>
      </c>
      <c r="J207" s="12"/>
      <c r="K207" s="17">
        <v>1</v>
      </c>
    </row>
    <row r="208" spans="1:11" x14ac:dyDescent="0.2">
      <c r="A208" s="12" t="s">
        <v>35</v>
      </c>
      <c r="B208" s="16" t="s">
        <v>35</v>
      </c>
      <c r="C208" s="12" t="s">
        <v>35</v>
      </c>
      <c r="D208" s="12" t="s">
        <v>36</v>
      </c>
      <c r="E208" s="16" t="s">
        <v>262</v>
      </c>
      <c r="F208" s="12" t="s">
        <v>35</v>
      </c>
      <c r="G208" s="16" t="s">
        <v>275</v>
      </c>
      <c r="H208" s="16" t="s">
        <v>35</v>
      </c>
      <c r="I208" s="12">
        <v>7</v>
      </c>
      <c r="J208" s="12"/>
      <c r="K208" s="17">
        <v>1</v>
      </c>
    </row>
    <row r="209" spans="1:14" x14ac:dyDescent="0.2">
      <c r="A209" s="12" t="s">
        <v>35</v>
      </c>
      <c r="B209" s="16" t="s">
        <v>35</v>
      </c>
      <c r="C209" s="12" t="s">
        <v>35</v>
      </c>
      <c r="D209" s="12" t="s">
        <v>36</v>
      </c>
      <c r="E209" s="16" t="s">
        <v>263</v>
      </c>
      <c r="F209" s="12" t="s">
        <v>35</v>
      </c>
      <c r="G209" s="16" t="s">
        <v>276</v>
      </c>
      <c r="H209" s="16" t="s">
        <v>35</v>
      </c>
      <c r="I209" s="12">
        <v>7</v>
      </c>
      <c r="J209" s="12"/>
      <c r="K209" s="17">
        <v>1</v>
      </c>
    </row>
    <row r="210" spans="1:14" x14ac:dyDescent="0.2">
      <c r="A210" s="12" t="s">
        <v>35</v>
      </c>
      <c r="B210" s="16" t="s">
        <v>35</v>
      </c>
      <c r="C210" s="12" t="s">
        <v>35</v>
      </c>
      <c r="D210" s="12" t="s">
        <v>36</v>
      </c>
      <c r="E210" s="16" t="s">
        <v>249</v>
      </c>
      <c r="F210" s="12" t="s">
        <v>35</v>
      </c>
      <c r="G210" s="16" t="s">
        <v>250</v>
      </c>
      <c r="H210" s="16" t="s">
        <v>35</v>
      </c>
      <c r="I210" s="12">
        <v>1</v>
      </c>
      <c r="J210" s="12"/>
      <c r="K210" s="17">
        <v>0.5</v>
      </c>
    </row>
    <row r="211" spans="1:14" x14ac:dyDescent="0.2">
      <c r="A211" s="12" t="s">
        <v>35</v>
      </c>
      <c r="B211" s="16" t="s">
        <v>35</v>
      </c>
      <c r="C211" s="12" t="s">
        <v>35</v>
      </c>
      <c r="D211" s="12" t="s">
        <v>35</v>
      </c>
      <c r="E211" s="16" t="s">
        <v>35</v>
      </c>
      <c r="F211" s="12" t="s">
        <v>35</v>
      </c>
      <c r="G211" s="16" t="s">
        <v>35</v>
      </c>
      <c r="H211" s="16" t="s">
        <v>35</v>
      </c>
      <c r="I211" s="12"/>
      <c r="J211" s="12"/>
      <c r="K211" s="17"/>
    </row>
    <row r="212" spans="1:14" x14ac:dyDescent="0.2">
      <c r="A212" s="12" t="s">
        <v>35</v>
      </c>
      <c r="B212" s="16" t="s">
        <v>35</v>
      </c>
      <c r="C212" s="12" t="s">
        <v>35</v>
      </c>
      <c r="D212" s="12" t="s">
        <v>35</v>
      </c>
      <c r="E212" s="16" t="s">
        <v>35</v>
      </c>
      <c r="F212" s="12" t="s">
        <v>35</v>
      </c>
      <c r="G212" s="16" t="s">
        <v>35</v>
      </c>
      <c r="H212" s="16" t="s">
        <v>35</v>
      </c>
      <c r="I212" s="12"/>
      <c r="J212" s="12"/>
      <c r="K212" s="17"/>
    </row>
    <row r="213" spans="1:14" ht="63.75" x14ac:dyDescent="0.2">
      <c r="A213" s="3" t="s">
        <v>21</v>
      </c>
      <c r="B213" s="3" t="s">
        <v>22</v>
      </c>
      <c r="C213" s="3" t="s">
        <v>23</v>
      </c>
      <c r="D213" s="3" t="s">
        <v>24</v>
      </c>
      <c r="E213" s="3" t="s">
        <v>25</v>
      </c>
      <c r="F213" s="3" t="s">
        <v>26</v>
      </c>
      <c r="G213" s="3" t="s">
        <v>27</v>
      </c>
      <c r="H213" s="3" t="s">
        <v>28</v>
      </c>
      <c r="I213" s="3" t="s">
        <v>29</v>
      </c>
      <c r="J213" s="3" t="s">
        <v>30</v>
      </c>
      <c r="K213" s="3" t="s">
        <v>31</v>
      </c>
      <c r="L213" s="4" t="s">
        <v>50</v>
      </c>
      <c r="M213" s="5" t="s">
        <v>33</v>
      </c>
      <c r="N213" s="6">
        <f>SUM(K214:K215)</f>
        <v>0</v>
      </c>
    </row>
    <row r="214" spans="1:14" x14ac:dyDescent="0.2">
      <c r="A214" s="12" t="s">
        <v>35</v>
      </c>
      <c r="B214" s="16" t="s">
        <v>35</v>
      </c>
      <c r="C214" s="12" t="s">
        <v>35</v>
      </c>
      <c r="D214" s="12" t="s">
        <v>35</v>
      </c>
      <c r="E214" s="16" t="s">
        <v>35</v>
      </c>
      <c r="F214" s="12" t="s">
        <v>35</v>
      </c>
      <c r="G214" s="16" t="s">
        <v>35</v>
      </c>
      <c r="H214" s="16" t="s">
        <v>35</v>
      </c>
      <c r="I214" s="12"/>
      <c r="J214" s="12"/>
      <c r="K214" s="17"/>
    </row>
    <row r="215" spans="1:14" x14ac:dyDescent="0.2">
      <c r="A215" s="12" t="s">
        <v>35</v>
      </c>
      <c r="B215" s="16" t="s">
        <v>35</v>
      </c>
      <c r="C215" s="12" t="s">
        <v>35</v>
      </c>
      <c r="D215" s="12" t="s">
        <v>35</v>
      </c>
      <c r="E215" s="16" t="s">
        <v>35</v>
      </c>
      <c r="F215" s="12" t="s">
        <v>35</v>
      </c>
      <c r="G215" s="16" t="s">
        <v>35</v>
      </c>
      <c r="H215" s="16" t="s">
        <v>35</v>
      </c>
      <c r="I215" s="12"/>
      <c r="J215" s="12"/>
      <c r="K215" s="17"/>
    </row>
    <row r="216" spans="1:14" ht="63.75" x14ac:dyDescent="0.2">
      <c r="A216" s="3" t="s">
        <v>21</v>
      </c>
      <c r="B216" s="3" t="s">
        <v>22</v>
      </c>
      <c r="C216" s="3" t="s">
        <v>23</v>
      </c>
      <c r="D216" s="3" t="s">
        <v>24</v>
      </c>
      <c r="E216" s="3" t="s">
        <v>25</v>
      </c>
      <c r="F216" s="3" t="s">
        <v>26</v>
      </c>
      <c r="G216" s="3" t="s">
        <v>27</v>
      </c>
      <c r="H216" s="3" t="s">
        <v>28</v>
      </c>
      <c r="I216" s="3" t="s">
        <v>29</v>
      </c>
      <c r="J216" s="3" t="s">
        <v>30</v>
      </c>
      <c r="K216" s="3" t="s">
        <v>31</v>
      </c>
      <c r="L216" s="4" t="s">
        <v>51</v>
      </c>
      <c r="M216" s="5" t="s">
        <v>33</v>
      </c>
      <c r="N216" s="6">
        <f>SUM(K217:K218)</f>
        <v>0</v>
      </c>
    </row>
    <row r="217" spans="1:14" x14ac:dyDescent="0.2">
      <c r="A217" s="12" t="s">
        <v>35</v>
      </c>
      <c r="B217" s="16" t="s">
        <v>35</v>
      </c>
      <c r="C217" s="12" t="s">
        <v>35</v>
      </c>
      <c r="D217" s="12" t="s">
        <v>35</v>
      </c>
      <c r="E217" s="16" t="s">
        <v>35</v>
      </c>
      <c r="F217" s="12" t="s">
        <v>35</v>
      </c>
      <c r="G217" s="16" t="s">
        <v>35</v>
      </c>
      <c r="H217" s="16" t="s">
        <v>35</v>
      </c>
      <c r="I217" s="12"/>
      <c r="J217" s="12"/>
      <c r="K217" s="17"/>
    </row>
    <row r="218" spans="1:14" x14ac:dyDescent="0.2">
      <c r="A218" s="12" t="s">
        <v>35</v>
      </c>
      <c r="B218" s="16" t="s">
        <v>35</v>
      </c>
      <c r="C218" s="12" t="s">
        <v>35</v>
      </c>
      <c r="D218" s="12" t="s">
        <v>35</v>
      </c>
      <c r="E218" s="16" t="s">
        <v>35</v>
      </c>
      <c r="F218" s="12" t="s">
        <v>35</v>
      </c>
      <c r="G218" s="16" t="s">
        <v>35</v>
      </c>
      <c r="H218" s="16" t="s">
        <v>35</v>
      </c>
      <c r="I218" s="12"/>
      <c r="J218" s="12"/>
      <c r="K218" s="17"/>
    </row>
    <row r="219" spans="1:14" ht="63.75" x14ac:dyDescent="0.2">
      <c r="A219" s="3" t="s">
        <v>21</v>
      </c>
      <c r="B219" s="3" t="s">
        <v>22</v>
      </c>
      <c r="C219" s="3" t="s">
        <v>23</v>
      </c>
      <c r="D219" s="3" t="s">
        <v>24</v>
      </c>
      <c r="E219" s="3" t="s">
        <v>25</v>
      </c>
      <c r="F219" s="3" t="s">
        <v>26</v>
      </c>
      <c r="G219" s="3" t="s">
        <v>27</v>
      </c>
      <c r="H219" s="3" t="s">
        <v>28</v>
      </c>
      <c r="I219" s="3" t="s">
        <v>29</v>
      </c>
      <c r="J219" s="3" t="s">
        <v>30</v>
      </c>
      <c r="K219" s="3" t="s">
        <v>31</v>
      </c>
      <c r="L219" s="4" t="s">
        <v>52</v>
      </c>
      <c r="M219" s="5" t="s">
        <v>33</v>
      </c>
      <c r="N219" s="6">
        <f>SUM(K220:K221)</f>
        <v>0</v>
      </c>
    </row>
    <row r="220" spans="1:14" x14ac:dyDescent="0.2">
      <c r="A220" s="12" t="s">
        <v>35</v>
      </c>
      <c r="B220" s="16" t="s">
        <v>35</v>
      </c>
      <c r="C220" s="12" t="s">
        <v>35</v>
      </c>
      <c r="D220" s="12" t="s">
        <v>35</v>
      </c>
      <c r="E220" s="16" t="s">
        <v>35</v>
      </c>
      <c r="F220" s="12" t="s">
        <v>35</v>
      </c>
      <c r="G220" s="16" t="s">
        <v>35</v>
      </c>
      <c r="H220" s="16" t="s">
        <v>35</v>
      </c>
      <c r="I220" s="12"/>
      <c r="J220" s="12"/>
      <c r="K220" s="17"/>
    </row>
    <row r="221" spans="1:14" x14ac:dyDescent="0.2">
      <c r="A221" s="12" t="s">
        <v>35</v>
      </c>
      <c r="B221" s="16" t="s">
        <v>35</v>
      </c>
      <c r="C221" s="12" t="s">
        <v>35</v>
      </c>
      <c r="D221" s="12" t="s">
        <v>35</v>
      </c>
      <c r="E221" s="16" t="s">
        <v>35</v>
      </c>
      <c r="F221" s="12" t="s">
        <v>35</v>
      </c>
      <c r="G221" s="16" t="s">
        <v>35</v>
      </c>
      <c r="H221" s="16" t="s">
        <v>35</v>
      </c>
      <c r="I221" s="12"/>
      <c r="J221" s="12"/>
      <c r="K221" s="17"/>
    </row>
    <row r="222" spans="1:14" ht="63.75" x14ac:dyDescent="0.2">
      <c r="A222" s="3" t="s">
        <v>21</v>
      </c>
      <c r="B222" s="3" t="s">
        <v>22</v>
      </c>
      <c r="C222" s="3" t="s">
        <v>23</v>
      </c>
      <c r="D222" s="3" t="s">
        <v>24</v>
      </c>
      <c r="E222" s="3" t="s">
        <v>25</v>
      </c>
      <c r="F222" s="3" t="s">
        <v>26</v>
      </c>
      <c r="G222" s="3" t="s">
        <v>27</v>
      </c>
      <c r="H222" s="3" t="s">
        <v>28</v>
      </c>
      <c r="I222" s="3" t="s">
        <v>29</v>
      </c>
      <c r="J222" s="3" t="s">
        <v>30</v>
      </c>
      <c r="K222" s="3" t="s">
        <v>31</v>
      </c>
      <c r="L222" s="4" t="s">
        <v>53</v>
      </c>
      <c r="M222" s="5" t="s">
        <v>33</v>
      </c>
      <c r="N222" s="6">
        <f>SUM(K223:K224)</f>
        <v>0</v>
      </c>
    </row>
    <row r="223" spans="1:14" x14ac:dyDescent="0.2">
      <c r="A223" s="12" t="s">
        <v>35</v>
      </c>
      <c r="B223" s="16" t="s">
        <v>35</v>
      </c>
      <c r="C223" s="12" t="s">
        <v>35</v>
      </c>
      <c r="D223" s="12" t="s">
        <v>35</v>
      </c>
      <c r="E223" s="16" t="s">
        <v>35</v>
      </c>
      <c r="F223" s="12" t="s">
        <v>35</v>
      </c>
      <c r="G223" s="16" t="s">
        <v>35</v>
      </c>
      <c r="H223" s="16" t="s">
        <v>35</v>
      </c>
      <c r="I223" s="12"/>
      <c r="J223" s="12"/>
      <c r="K223" s="17"/>
    </row>
    <row r="224" spans="1:14" x14ac:dyDescent="0.2">
      <c r="A224" s="12" t="s">
        <v>35</v>
      </c>
      <c r="B224" s="16" t="s">
        <v>35</v>
      </c>
      <c r="C224" s="12" t="s">
        <v>35</v>
      </c>
      <c r="D224" s="12" t="s">
        <v>35</v>
      </c>
      <c r="E224" s="16" t="s">
        <v>35</v>
      </c>
      <c r="F224" s="12" t="s">
        <v>35</v>
      </c>
      <c r="G224" s="16" t="s">
        <v>35</v>
      </c>
      <c r="H224" s="16" t="s">
        <v>35</v>
      </c>
      <c r="I224" s="12"/>
      <c r="J224" s="12"/>
      <c r="K224" s="17"/>
    </row>
    <row r="225" spans="1:14" ht="63.75" x14ac:dyDescent="0.2">
      <c r="A225" s="3" t="s">
        <v>21</v>
      </c>
      <c r="B225" s="3" t="s">
        <v>22</v>
      </c>
      <c r="C225" s="3" t="s">
        <v>23</v>
      </c>
      <c r="D225" s="3" t="s">
        <v>24</v>
      </c>
      <c r="E225" s="3" t="s">
        <v>25</v>
      </c>
      <c r="F225" s="3" t="s">
        <v>26</v>
      </c>
      <c r="G225" s="3" t="s">
        <v>27</v>
      </c>
      <c r="H225" s="3" t="s">
        <v>28</v>
      </c>
      <c r="I225" s="3" t="s">
        <v>29</v>
      </c>
      <c r="J225" s="3" t="s">
        <v>30</v>
      </c>
      <c r="K225" s="3" t="s">
        <v>31</v>
      </c>
      <c r="L225" s="4" t="s">
        <v>54</v>
      </c>
      <c r="M225" s="5" t="s">
        <v>33</v>
      </c>
      <c r="N225" s="6">
        <f>SUM(K226:K227)</f>
        <v>0</v>
      </c>
    </row>
    <row r="226" spans="1:14" x14ac:dyDescent="0.2">
      <c r="A226" s="12" t="s">
        <v>35</v>
      </c>
      <c r="B226" s="16" t="s">
        <v>35</v>
      </c>
      <c r="C226" s="12" t="s">
        <v>35</v>
      </c>
      <c r="D226" s="12" t="s">
        <v>35</v>
      </c>
      <c r="E226" s="16" t="s">
        <v>35</v>
      </c>
      <c r="F226" s="12" t="s">
        <v>35</v>
      </c>
      <c r="G226" s="16" t="s">
        <v>35</v>
      </c>
      <c r="H226" s="16" t="s">
        <v>35</v>
      </c>
      <c r="I226" s="12"/>
      <c r="J226" s="12"/>
      <c r="K226" s="17"/>
    </row>
    <row r="227" spans="1:14" x14ac:dyDescent="0.2">
      <c r="A227" s="18" t="s">
        <v>35</v>
      </c>
      <c r="B227" s="18" t="s">
        <v>35</v>
      </c>
      <c r="C227" s="18" t="s">
        <v>35</v>
      </c>
      <c r="D227" s="18" t="s">
        <v>35</v>
      </c>
      <c r="E227" s="18" t="s">
        <v>35</v>
      </c>
      <c r="F227" s="18" t="s">
        <v>35</v>
      </c>
      <c r="G227" s="18" t="s">
        <v>35</v>
      </c>
      <c r="H227" s="18" t="s">
        <v>35</v>
      </c>
      <c r="I227" s="18" t="s">
        <v>35</v>
      </c>
      <c r="J227" s="18" t="s">
        <v>35</v>
      </c>
      <c r="K227" s="18" t="s">
        <v>35</v>
      </c>
    </row>
    <row r="230" spans="1:14" ht="40.5" x14ac:dyDescent="0.2">
      <c r="L230" s="4" t="s">
        <v>55</v>
      </c>
      <c r="M230" s="5" t="s">
        <v>33</v>
      </c>
      <c r="N230" s="6">
        <f>SUM(N1:N228)</f>
        <v>100</v>
      </c>
    </row>
  </sheetData>
  <mergeCells count="22">
    <mergeCell ref="B4:H4"/>
    <mergeCell ref="A3:K3"/>
    <mergeCell ref="A1:K1"/>
    <mergeCell ref="B5:H5"/>
    <mergeCell ref="B6:H6"/>
    <mergeCell ref="B7:H7"/>
    <mergeCell ref="B8:H8"/>
    <mergeCell ref="B9:H9"/>
    <mergeCell ref="A15:K15"/>
    <mergeCell ref="B16:J16"/>
    <mergeCell ref="I12:J12"/>
    <mergeCell ref="B11:H11"/>
    <mergeCell ref="B10:H10"/>
    <mergeCell ref="B22:J22"/>
    <mergeCell ref="B23:J23"/>
    <mergeCell ref="B24:J24"/>
    <mergeCell ref="B25:J25"/>
    <mergeCell ref="B17:J17"/>
    <mergeCell ref="B18:J18"/>
    <mergeCell ref="B19:J19"/>
    <mergeCell ref="B20:J20"/>
    <mergeCell ref="B21:J21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26" sqref="I26"/>
    </sheetView>
  </sheetViews>
  <sheetFormatPr defaultColWidth="8.85546875" defaultRowHeight="12.75" x14ac:dyDescent="0.2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94E0163ABA5C46BDFEF9575BA81040" ma:contentTypeVersion="6" ma:contentTypeDescription="Crie um novo documento." ma:contentTypeScope="" ma:versionID="4dfe2ff040625677f1a80cd8ab5694cd">
  <xsd:schema xmlns:xsd="http://www.w3.org/2001/XMLSchema" xmlns:xs="http://www.w3.org/2001/XMLSchema" xmlns:p="http://schemas.microsoft.com/office/2006/metadata/properties" xmlns:ns2="d67dac1e-1a35-497f-a3c4-62612fec47b9" xmlns:ns3="68019632-394c-4371-9652-cb7773649742" targetNamespace="http://schemas.microsoft.com/office/2006/metadata/properties" ma:root="true" ma:fieldsID="6bb2caa51723ea068afa176e239ba487" ns2:_="" ns3:_="">
    <xsd:import namespace="d67dac1e-1a35-497f-a3c4-62612fec47b9"/>
    <xsd:import namespace="68019632-394c-4371-9652-cb77736497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ac1e-1a35-497f-a3c4-62612fec4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19632-394c-4371-9652-cb7773649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9C9354-E014-4E2C-AE06-D74F5E265A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AA0CAF-588F-416F-A40B-DB6B271EFD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CC8433-B949-4EE6-A856-2ECCA7CBA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dac1e-1a35-497f-a3c4-62612fec47b9"/>
    <ds:schemaRef ds:uri="68019632-394c-4371-9652-cb7773649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Manager/>
  <Company>WorldSkills International Secretariat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cp:keywords/>
  <dc:description/>
  <cp:lastModifiedBy>Paulo Roberto Brandao da Silva</cp:lastModifiedBy>
  <cp:revision/>
  <dcterms:created xsi:type="dcterms:W3CDTF">2010-04-27T04:25:00Z</dcterms:created>
  <dcterms:modified xsi:type="dcterms:W3CDTF">2024-04-21T17:05:48Z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0x010100CC94E0163ABA5C46BDFEF9575BA81040</vt:lpwstr>
  </property>
</Properties>
</file>